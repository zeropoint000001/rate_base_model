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00220278\Desktop\Rate Base Model\"/>
    </mc:Choice>
  </mc:AlternateContent>
  <bookViews>
    <workbookView xWindow="0" yWindow="0" windowWidth="18870" windowHeight="7035"/>
  </bookViews>
  <sheets>
    <sheet name="Rate Base Model L1" sheetId="1" r:id="rId1"/>
    <sheet name="Rate Base Model L2" sheetId="3" r:id="rId2"/>
    <sheet name="Plant in Service" sheetId="2" r:id="rId3"/>
  </sheets>
  <functionGroups builtInGroupCount="18"/>
  <definedNames>
    <definedName name="solver_adj" localSheetId="2" hidden="1">'Plant in Service'!$A$13:$A$53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'Plant in Service'!$A$13:$A$53</definedName>
    <definedName name="solver_lhs2" localSheetId="2" hidden="1">'Plant in Service'!$B$58</definedName>
    <definedName name="solver_lhs3" localSheetId="2" hidden="1">'Plant in Service'!$B$59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2</definedName>
    <definedName name="solver_nwt" localSheetId="2" hidden="1">1</definedName>
    <definedName name="solver_opt" localSheetId="2" hidden="1">'Plant in Service'!$D$58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2</definedName>
    <definedName name="solver_rel3" localSheetId="2" hidden="1">1</definedName>
    <definedName name="solver_rhs1" localSheetId="2" hidden="1">0</definedName>
    <definedName name="solver_rhs2" localSheetId="2" hidden="1">1</definedName>
    <definedName name="solver_rhs3" localSheetId="2" hidden="1">0.15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3</definedName>
    <definedName name="solver_val" localSheetId="2" hidden="1">1756</definedName>
    <definedName name="solver_ver" localSheetId="2" hidden="1">3</definedName>
  </definedNames>
  <calcPr calcId="171027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43" i="3" l="1"/>
  <c r="T43" i="3" s="1"/>
  <c r="G43" i="3"/>
  <c r="R45" i="3"/>
  <c r="F45" i="3" s="1"/>
  <c r="R46" i="3"/>
  <c r="F46" i="3" s="1"/>
  <c r="R48" i="3"/>
  <c r="F48" i="3" s="1"/>
  <c r="R44" i="3"/>
  <c r="F44" i="3" s="1"/>
  <c r="F43" i="3"/>
  <c r="U43" i="3" l="1"/>
  <c r="V43" i="3" s="1"/>
  <c r="H43" i="3"/>
  <c r="J43" i="3"/>
  <c r="W43" i="3"/>
  <c r="K43" i="3" s="1"/>
  <c r="I43" i="3"/>
  <c r="R47" i="3" l="1"/>
  <c r="F47" i="3" s="1"/>
  <c r="F30" i="1"/>
  <c r="G30" i="1" s="1"/>
  <c r="H30" i="1" s="1"/>
  <c r="I30" i="1" s="1"/>
  <c r="J30" i="1" s="1"/>
  <c r="K30" i="1" s="1"/>
  <c r="S32" i="3" l="1"/>
  <c r="F33" i="3"/>
  <c r="F34" i="3"/>
  <c r="F32" i="3"/>
  <c r="F28" i="3"/>
  <c r="F36" i="3"/>
  <c r="F35" i="3"/>
  <c r="S34" i="3"/>
  <c r="T34" i="3" s="1"/>
  <c r="U34" i="3" s="1"/>
  <c r="V34" i="3" s="1"/>
  <c r="W34" i="3" s="1"/>
  <c r="K34" i="3" s="1"/>
  <c r="E5" i="3"/>
  <c r="K4" i="1"/>
  <c r="E7" i="3" s="1"/>
  <c r="K3" i="1"/>
  <c r="E6" i="3" s="1"/>
  <c r="K5" i="1"/>
  <c r="E8" i="3" s="1"/>
  <c r="E4" i="3"/>
  <c r="U29" i="3" s="1"/>
  <c r="I29" i="3" s="1"/>
  <c r="G32" i="3" l="1"/>
  <c r="H34" i="3"/>
  <c r="V29" i="3"/>
  <c r="J29" i="3" s="1"/>
  <c r="V14" i="3"/>
  <c r="J14" i="3" s="1"/>
  <c r="R29" i="3"/>
  <c r="F29" i="3" s="1"/>
  <c r="F30" i="3" s="1"/>
  <c r="U14" i="3"/>
  <c r="I14" i="3" s="1"/>
  <c r="S29" i="3"/>
  <c r="G29" i="3" s="1"/>
  <c r="W29" i="3"/>
  <c r="K29" i="3" s="1"/>
  <c r="G34" i="3"/>
  <c r="T32" i="3"/>
  <c r="U32" i="3" s="1"/>
  <c r="I32" i="3" s="1"/>
  <c r="R14" i="3"/>
  <c r="F14" i="3" s="1"/>
  <c r="T14" i="3"/>
  <c r="H14" i="3" s="1"/>
  <c r="T29" i="3"/>
  <c r="H29" i="3" s="1"/>
  <c r="J34" i="3"/>
  <c r="W14" i="3"/>
  <c r="K14" i="3" s="1"/>
  <c r="S14" i="3"/>
  <c r="G14" i="3" s="1"/>
  <c r="I34" i="3"/>
  <c r="H32" i="3" l="1"/>
  <c r="S17" i="3"/>
  <c r="S44" i="3" s="1"/>
  <c r="G44" i="3" s="1"/>
  <c r="F18" i="3"/>
  <c r="F19" i="3"/>
  <c r="F17" i="3"/>
  <c r="F21" i="3"/>
  <c r="F20" i="3"/>
  <c r="S19" i="3"/>
  <c r="F13" i="1"/>
  <c r="G13" i="1" s="1"/>
  <c r="G19" i="3" l="1"/>
  <c r="S46" i="3"/>
  <c r="G46" i="3" s="1"/>
  <c r="G17" i="3"/>
  <c r="V32" i="3"/>
  <c r="T17" i="3"/>
  <c r="T19" i="3"/>
  <c r="T46" i="3" s="1"/>
  <c r="H46" i="3" s="1"/>
  <c r="U17" i="3" l="1"/>
  <c r="T44" i="3"/>
  <c r="H44" i="3" s="1"/>
  <c r="W32" i="3"/>
  <c r="K32" i="3" s="1"/>
  <c r="J32" i="3"/>
  <c r="I17" i="3"/>
  <c r="H17" i="3"/>
  <c r="H19" i="3"/>
  <c r="U19" i="3"/>
  <c r="U46" i="3" s="1"/>
  <c r="I46" i="3" s="1"/>
  <c r="V17" i="3" l="1"/>
  <c r="U44" i="3"/>
  <c r="I44" i="3" s="1"/>
  <c r="I19" i="3"/>
  <c r="V19" i="3"/>
  <c r="V46" i="3" s="1"/>
  <c r="J46" i="3" s="1"/>
  <c r="W17" i="3" l="1"/>
  <c r="V44" i="3"/>
  <c r="J44" i="3" s="1"/>
  <c r="J17" i="3"/>
  <c r="J19" i="3"/>
  <c r="W19" i="3"/>
  <c r="K19" i="3" l="1"/>
  <c r="W46" i="3"/>
  <c r="K46" i="3" s="1"/>
  <c r="W44" i="3"/>
  <c r="K44" i="3" s="1"/>
  <c r="K17" i="3"/>
  <c r="H13" i="1"/>
  <c r="I13" i="1" s="1"/>
  <c r="J13" i="1" s="1"/>
  <c r="K13" i="1" s="1"/>
  <c r="AB14" i="2" l="1"/>
  <c r="L14" i="2" s="1"/>
  <c r="AB15" i="2"/>
  <c r="L15" i="2" s="1"/>
  <c r="AB16" i="2"/>
  <c r="L16" i="2" s="1"/>
  <c r="AB17" i="2"/>
  <c r="L17" i="2" s="1"/>
  <c r="AB18" i="2"/>
  <c r="L18" i="2" s="1"/>
  <c r="AB19" i="2"/>
  <c r="L19" i="2" s="1"/>
  <c r="AB20" i="2"/>
  <c r="L20" i="2" s="1"/>
  <c r="AB21" i="2"/>
  <c r="L21" i="2" s="1"/>
  <c r="AB22" i="2"/>
  <c r="L22" i="2" s="1"/>
  <c r="AB23" i="2"/>
  <c r="L23" i="2" s="1"/>
  <c r="AB24" i="2"/>
  <c r="L24" i="2" s="1"/>
  <c r="AB25" i="2"/>
  <c r="L25" i="2" s="1"/>
  <c r="AB26" i="2"/>
  <c r="L26" i="2" s="1"/>
  <c r="AB27" i="2"/>
  <c r="L27" i="2" s="1"/>
  <c r="AB28" i="2"/>
  <c r="L28" i="2" s="1"/>
  <c r="AB29" i="2"/>
  <c r="L29" i="2" s="1"/>
  <c r="AB30" i="2"/>
  <c r="L30" i="2" s="1"/>
  <c r="AB31" i="2"/>
  <c r="L31" i="2" s="1"/>
  <c r="AB32" i="2"/>
  <c r="L32" i="2" s="1"/>
  <c r="AB33" i="2"/>
  <c r="L33" i="2" s="1"/>
  <c r="AB34" i="2"/>
  <c r="L34" i="2" s="1"/>
  <c r="AB35" i="2"/>
  <c r="L35" i="2" s="1"/>
  <c r="AB36" i="2"/>
  <c r="L36" i="2" s="1"/>
  <c r="AB37" i="2"/>
  <c r="L37" i="2" s="1"/>
  <c r="AB38" i="2"/>
  <c r="L38" i="2" s="1"/>
  <c r="AB39" i="2"/>
  <c r="L39" i="2" s="1"/>
  <c r="AB40" i="2"/>
  <c r="L40" i="2" s="1"/>
  <c r="AB41" i="2"/>
  <c r="L41" i="2" s="1"/>
  <c r="AB42" i="2"/>
  <c r="L42" i="2" s="1"/>
  <c r="AB43" i="2"/>
  <c r="L43" i="2" s="1"/>
  <c r="AB44" i="2"/>
  <c r="L44" i="2" s="1"/>
  <c r="AB45" i="2"/>
  <c r="L45" i="2" s="1"/>
  <c r="AB46" i="2"/>
  <c r="L46" i="2" s="1"/>
  <c r="AB47" i="2"/>
  <c r="L47" i="2" s="1"/>
  <c r="AB48" i="2"/>
  <c r="L48" i="2" s="1"/>
  <c r="AB49" i="2"/>
  <c r="L49" i="2" s="1"/>
  <c r="AB50" i="2"/>
  <c r="L50" i="2" s="1"/>
  <c r="AB51" i="2"/>
  <c r="L51" i="2" s="1"/>
  <c r="AB52" i="2"/>
  <c r="L52" i="2" s="1"/>
  <c r="AB53" i="2"/>
  <c r="L53" i="2" s="1"/>
  <c r="AB54" i="2"/>
  <c r="L54" i="2" s="1"/>
  <c r="AB13" i="2"/>
  <c r="AD53" i="2"/>
  <c r="AD27" i="2"/>
  <c r="AD45" i="2"/>
  <c r="AD34" i="2"/>
  <c r="AD26" i="2"/>
  <c r="AD16" i="2"/>
  <c r="AD14" i="2"/>
  <c r="AD50" i="2"/>
  <c r="AD44" i="2"/>
  <c r="AD46" i="2"/>
  <c r="AD37" i="2"/>
  <c r="AD39" i="2"/>
  <c r="AD21" i="2"/>
  <c r="AD42" i="2"/>
  <c r="AD43" i="2"/>
  <c r="AD28" i="2"/>
  <c r="AD23" i="2"/>
  <c r="AD20" i="2"/>
  <c r="AD19" i="2"/>
  <c r="AD36" i="2"/>
  <c r="AD38" i="2"/>
  <c r="AD30" i="2"/>
  <c r="AD52" i="2"/>
  <c r="AD32" i="2"/>
  <c r="AD29" i="2"/>
  <c r="AD33" i="2"/>
  <c r="AD35" i="2"/>
  <c r="AD51" i="2"/>
  <c r="AD40" i="2"/>
  <c r="AD54" i="2"/>
  <c r="AD47" i="2"/>
  <c r="AD49" i="2"/>
  <c r="AD22" i="2"/>
  <c r="AD24" i="2"/>
  <c r="AD15" i="2"/>
  <c r="AD13" i="2"/>
  <c r="AD17" i="2"/>
  <c r="AD41" i="2"/>
  <c r="AD25" i="2"/>
  <c r="L13" i="2" l="1"/>
  <c r="U13" i="2"/>
  <c r="U45" i="2"/>
  <c r="U29" i="2"/>
  <c r="U17" i="2"/>
  <c r="U52" i="2"/>
  <c r="U44" i="2"/>
  <c r="U40" i="2"/>
  <c r="U36" i="2"/>
  <c r="U32" i="2"/>
  <c r="U28" i="2"/>
  <c r="U24" i="2"/>
  <c r="U20" i="2"/>
  <c r="U16" i="2"/>
  <c r="U53" i="2"/>
  <c r="U41" i="2"/>
  <c r="U33" i="2"/>
  <c r="U25" i="2"/>
  <c r="U51" i="2"/>
  <c r="U47" i="2"/>
  <c r="U43" i="2"/>
  <c r="U39" i="2"/>
  <c r="U35" i="2"/>
  <c r="U27" i="2"/>
  <c r="U23" i="2"/>
  <c r="U19" i="2"/>
  <c r="U15" i="2"/>
  <c r="U49" i="2"/>
  <c r="U37" i="2"/>
  <c r="U21" i="2"/>
  <c r="U50" i="2"/>
  <c r="U46" i="2"/>
  <c r="U42" i="2"/>
  <c r="U38" i="2"/>
  <c r="U34" i="2"/>
  <c r="U30" i="2"/>
  <c r="U26" i="2"/>
  <c r="U22" i="2"/>
  <c r="U14" i="2"/>
  <c r="U54" i="2"/>
  <c r="AD48" i="2"/>
  <c r="AD31" i="2"/>
  <c r="AD18" i="2"/>
  <c r="U48" i="2" l="1"/>
  <c r="U31" i="2"/>
  <c r="U18" i="2"/>
  <c r="D13" i="2"/>
  <c r="E14" i="2" s="1"/>
  <c r="N14" i="2" l="1"/>
  <c r="W14" i="2"/>
  <c r="M13" i="2"/>
  <c r="V13" i="2"/>
  <c r="F15" i="2"/>
  <c r="D14" i="2"/>
  <c r="D15" i="2"/>
  <c r="F13" i="2"/>
  <c r="E13" i="2"/>
  <c r="F14" i="2" l="1"/>
  <c r="N13" i="2"/>
  <c r="W13" i="2"/>
  <c r="G14" i="2"/>
  <c r="H15" i="2" s="1"/>
  <c r="O13" i="2"/>
  <c r="X13" i="2"/>
  <c r="M15" i="2"/>
  <c r="V15" i="2"/>
  <c r="O15" i="2"/>
  <c r="X15" i="2"/>
  <c r="M14" i="2"/>
  <c r="V14" i="2"/>
  <c r="G15" i="2"/>
  <c r="G16" i="2"/>
  <c r="E15" i="2"/>
  <c r="D16" i="2"/>
  <c r="E16" i="2"/>
  <c r="H13" i="2"/>
  <c r="G13" i="2"/>
  <c r="Q13" i="2" l="1"/>
  <c r="Z13" i="2"/>
  <c r="M16" i="2"/>
  <c r="V16" i="2"/>
  <c r="P15" i="2"/>
  <c r="Y15" i="2"/>
  <c r="O14" i="2"/>
  <c r="X14" i="2"/>
  <c r="H14" i="2"/>
  <c r="P13" i="2"/>
  <c r="Y13" i="2"/>
  <c r="N15" i="2"/>
  <c r="W15" i="2"/>
  <c r="P14" i="2"/>
  <c r="Y14" i="2"/>
  <c r="P16" i="2"/>
  <c r="Y16" i="2"/>
  <c r="N16" i="2"/>
  <c r="W16" i="2"/>
  <c r="Q15" i="2"/>
  <c r="Z15" i="2"/>
  <c r="H17" i="2"/>
  <c r="H16" i="2"/>
  <c r="F16" i="2"/>
  <c r="F17" i="2"/>
  <c r="E17" i="2"/>
  <c r="D17" i="2"/>
  <c r="O17" i="2" l="1"/>
  <c r="X17" i="2"/>
  <c r="O16" i="2"/>
  <c r="X16" i="2"/>
  <c r="M17" i="2"/>
  <c r="V17" i="2"/>
  <c r="Q16" i="2"/>
  <c r="Z16" i="2"/>
  <c r="Q14" i="2"/>
  <c r="Z14" i="2"/>
  <c r="N17" i="2"/>
  <c r="W17" i="2"/>
  <c r="Q17" i="2"/>
  <c r="Z17" i="2"/>
  <c r="G17" i="2"/>
  <c r="F18" i="2"/>
  <c r="G18" i="2"/>
  <c r="D18" i="2"/>
  <c r="E18" i="2"/>
  <c r="N18" i="2" l="1"/>
  <c r="W18" i="2"/>
  <c r="P17" i="2"/>
  <c r="Y17" i="2"/>
  <c r="P18" i="2"/>
  <c r="Y18" i="2"/>
  <c r="O18" i="2"/>
  <c r="X18" i="2"/>
  <c r="M18" i="2"/>
  <c r="V18" i="2"/>
  <c r="H18" i="2"/>
  <c r="H19" i="2"/>
  <c r="F19" i="2"/>
  <c r="G19" i="2"/>
  <c r="E19" i="2"/>
  <c r="D19" i="2"/>
  <c r="O19" i="2" l="1"/>
  <c r="X19" i="2"/>
  <c r="M19" i="2"/>
  <c r="V19" i="2"/>
  <c r="Q19" i="2"/>
  <c r="Z19" i="2"/>
  <c r="N19" i="2"/>
  <c r="W19" i="2"/>
  <c r="Q18" i="2"/>
  <c r="Z18" i="2"/>
  <c r="P19" i="2"/>
  <c r="Y19" i="2"/>
  <c r="H20" i="2"/>
  <c r="E20" i="2"/>
  <c r="G20" i="2"/>
  <c r="F20" i="2"/>
  <c r="D20" i="2"/>
  <c r="M20" i="2" l="1"/>
  <c r="V20" i="2"/>
  <c r="Q20" i="2"/>
  <c r="Z20" i="2"/>
  <c r="O20" i="2"/>
  <c r="X20" i="2"/>
  <c r="P20" i="2"/>
  <c r="Y20" i="2"/>
  <c r="N20" i="2"/>
  <c r="W20" i="2"/>
  <c r="H21" i="2"/>
  <c r="E21" i="2"/>
  <c r="F21" i="2"/>
  <c r="D21" i="2"/>
  <c r="G21" i="2"/>
  <c r="O21" i="2" l="1"/>
  <c r="X21" i="2"/>
  <c r="N21" i="2"/>
  <c r="W21" i="2"/>
  <c r="P21" i="2"/>
  <c r="Y21" i="2"/>
  <c r="Q21" i="2"/>
  <c r="Z21" i="2"/>
  <c r="M21" i="2"/>
  <c r="V21" i="2"/>
  <c r="H22" i="2"/>
  <c r="F22" i="2"/>
  <c r="E22" i="2"/>
  <c r="D22" i="2"/>
  <c r="G22" i="2"/>
  <c r="P22" i="2" l="1"/>
  <c r="Y22" i="2"/>
  <c r="N22" i="2"/>
  <c r="W22" i="2"/>
  <c r="O22" i="2"/>
  <c r="X22" i="2"/>
  <c r="Q22" i="2"/>
  <c r="Z22" i="2"/>
  <c r="M22" i="2"/>
  <c r="V22" i="2"/>
  <c r="F23" i="2"/>
  <c r="H23" i="2"/>
  <c r="G23" i="2"/>
  <c r="D23" i="2"/>
  <c r="E23" i="2"/>
  <c r="Q23" i="2" l="1"/>
  <c r="Z23" i="2"/>
  <c r="N23" i="2"/>
  <c r="W23" i="2"/>
  <c r="O23" i="2"/>
  <c r="X23" i="2"/>
  <c r="P23" i="2"/>
  <c r="Y23" i="2"/>
  <c r="M23" i="2"/>
  <c r="V23" i="2"/>
  <c r="H24" i="2"/>
  <c r="F24" i="2"/>
  <c r="E24" i="2"/>
  <c r="G24" i="2"/>
  <c r="D24" i="2"/>
  <c r="M24" i="2" l="1"/>
  <c r="V24" i="2"/>
  <c r="Q24" i="2"/>
  <c r="Z24" i="2"/>
  <c r="N24" i="2"/>
  <c r="W24" i="2"/>
  <c r="O24" i="2"/>
  <c r="X24" i="2"/>
  <c r="P24" i="2"/>
  <c r="Y24" i="2"/>
  <c r="E25" i="2"/>
  <c r="G25" i="2"/>
  <c r="D25" i="2"/>
  <c r="H25" i="2"/>
  <c r="F25" i="2"/>
  <c r="M25" i="2" l="1"/>
  <c r="V25" i="2"/>
  <c r="O25" i="2"/>
  <c r="X25" i="2"/>
  <c r="N25" i="2"/>
  <c r="W25" i="2"/>
  <c r="P25" i="2"/>
  <c r="Y25" i="2"/>
  <c r="Q25" i="2"/>
  <c r="Z25" i="2"/>
  <c r="E26" i="2"/>
  <c r="G26" i="2"/>
  <c r="H26" i="2"/>
  <c r="F26" i="2"/>
  <c r="D26" i="2"/>
  <c r="M26" i="2" l="1"/>
  <c r="V26" i="2"/>
  <c r="N26" i="2"/>
  <c r="W26" i="2"/>
  <c r="Q26" i="2"/>
  <c r="Z26" i="2"/>
  <c r="P26" i="2"/>
  <c r="Y26" i="2"/>
  <c r="O26" i="2"/>
  <c r="X26" i="2"/>
  <c r="E27" i="2"/>
  <c r="G27" i="2"/>
  <c r="H27" i="2"/>
  <c r="F27" i="2"/>
  <c r="D27" i="2"/>
  <c r="Q27" i="2" l="1"/>
  <c r="Z27" i="2"/>
  <c r="P27" i="2"/>
  <c r="Y27" i="2"/>
  <c r="M27" i="2"/>
  <c r="V27" i="2"/>
  <c r="N27" i="2"/>
  <c r="W27" i="2"/>
  <c r="O27" i="2"/>
  <c r="X27" i="2"/>
  <c r="G28" i="2"/>
  <c r="H28" i="2"/>
  <c r="E28" i="2"/>
  <c r="F28" i="2"/>
  <c r="D28" i="2"/>
  <c r="P28" i="2" l="1"/>
  <c r="Y28" i="2"/>
  <c r="N28" i="2"/>
  <c r="W28" i="2"/>
  <c r="Q28" i="2"/>
  <c r="Z28" i="2"/>
  <c r="M28" i="2"/>
  <c r="V28" i="2"/>
  <c r="O28" i="2"/>
  <c r="X28" i="2"/>
  <c r="E29" i="2"/>
  <c r="F29" i="2"/>
  <c r="H29" i="2"/>
  <c r="G29" i="2"/>
  <c r="D29" i="2"/>
  <c r="Q29" i="2" l="1"/>
  <c r="Z29" i="2"/>
  <c r="O29" i="2"/>
  <c r="X29" i="2"/>
  <c r="M29" i="2"/>
  <c r="V29" i="2"/>
  <c r="N29" i="2"/>
  <c r="W29" i="2"/>
  <c r="P29" i="2"/>
  <c r="Y29" i="2"/>
  <c r="H30" i="2"/>
  <c r="G30" i="2"/>
  <c r="E30" i="2"/>
  <c r="F30" i="2"/>
  <c r="D30" i="2"/>
  <c r="M30" i="2" l="1"/>
  <c r="V30" i="2"/>
  <c r="N30" i="2"/>
  <c r="W30" i="2"/>
  <c r="P30" i="2"/>
  <c r="Y30" i="2"/>
  <c r="Q30" i="2"/>
  <c r="Z30" i="2"/>
  <c r="O30" i="2"/>
  <c r="X30" i="2"/>
  <c r="G31" i="2"/>
  <c r="H31" i="2"/>
  <c r="E31" i="2"/>
  <c r="F31" i="2"/>
  <c r="D31" i="2"/>
  <c r="Q31" i="2" l="1"/>
  <c r="Z31" i="2"/>
  <c r="M31" i="2"/>
  <c r="V31" i="2"/>
  <c r="P31" i="2"/>
  <c r="Y31" i="2"/>
  <c r="N31" i="2"/>
  <c r="W31" i="2"/>
  <c r="O31" i="2"/>
  <c r="X31" i="2"/>
  <c r="G32" i="2"/>
  <c r="E32" i="2"/>
  <c r="F32" i="2"/>
  <c r="H32" i="2"/>
  <c r="D32" i="2"/>
  <c r="P32" i="2" l="1"/>
  <c r="Y32" i="2"/>
  <c r="O32" i="2"/>
  <c r="X32" i="2"/>
  <c r="N32" i="2"/>
  <c r="W32" i="2"/>
  <c r="M32" i="2"/>
  <c r="V32" i="2"/>
  <c r="Q32" i="2"/>
  <c r="Z32" i="2"/>
  <c r="E33" i="2"/>
  <c r="F33" i="2"/>
  <c r="G33" i="2"/>
  <c r="H33" i="2"/>
  <c r="D33" i="2"/>
  <c r="O33" i="2" l="1"/>
  <c r="X33" i="2"/>
  <c r="M33" i="2"/>
  <c r="V33" i="2"/>
  <c r="N33" i="2"/>
  <c r="W33" i="2"/>
  <c r="P33" i="2"/>
  <c r="Y33" i="2"/>
  <c r="Q33" i="2"/>
  <c r="Z33" i="2"/>
  <c r="E34" i="2"/>
  <c r="H34" i="2"/>
  <c r="F34" i="2"/>
  <c r="G34" i="2"/>
  <c r="D34" i="2"/>
  <c r="M34" i="2" l="1"/>
  <c r="V34" i="2"/>
  <c r="N34" i="2"/>
  <c r="W34" i="2"/>
  <c r="O34" i="2"/>
  <c r="X34" i="2"/>
  <c r="Q34" i="2"/>
  <c r="Z34" i="2"/>
  <c r="P34" i="2"/>
  <c r="Y34" i="2"/>
  <c r="H35" i="2"/>
  <c r="E35" i="2"/>
  <c r="G35" i="2"/>
  <c r="F35" i="2"/>
  <c r="D35" i="2"/>
  <c r="P35" i="2" l="1"/>
  <c r="Y35" i="2"/>
  <c r="N35" i="2"/>
  <c r="W35" i="2"/>
  <c r="M35" i="2"/>
  <c r="V35" i="2"/>
  <c r="Q35" i="2"/>
  <c r="Z35" i="2"/>
  <c r="O35" i="2"/>
  <c r="X35" i="2"/>
  <c r="E36" i="2"/>
  <c r="G36" i="2"/>
  <c r="F36" i="2"/>
  <c r="H36" i="2"/>
  <c r="D36" i="2"/>
  <c r="M36" i="2" l="1"/>
  <c r="V36" i="2"/>
  <c r="N36" i="2"/>
  <c r="W36" i="2"/>
  <c r="O36" i="2"/>
  <c r="X36" i="2"/>
  <c r="P36" i="2"/>
  <c r="Y36" i="2"/>
  <c r="Q36" i="2"/>
  <c r="Z36" i="2"/>
  <c r="E37" i="2"/>
  <c r="H37" i="2"/>
  <c r="G37" i="2"/>
  <c r="F37" i="2"/>
  <c r="D37" i="2"/>
  <c r="P37" i="2" l="1"/>
  <c r="Y37" i="2"/>
  <c r="Q37" i="2"/>
  <c r="Z37" i="2"/>
  <c r="M37" i="2"/>
  <c r="V37" i="2"/>
  <c r="N37" i="2"/>
  <c r="W37" i="2"/>
  <c r="O37" i="2"/>
  <c r="X37" i="2"/>
  <c r="E38" i="2"/>
  <c r="F38" i="2"/>
  <c r="H38" i="2"/>
  <c r="G38" i="2"/>
  <c r="D38" i="2"/>
  <c r="M38" i="2" l="1"/>
  <c r="V38" i="2"/>
  <c r="N38" i="2"/>
  <c r="W38" i="2"/>
  <c r="P38" i="2"/>
  <c r="Y38" i="2"/>
  <c r="Q38" i="2"/>
  <c r="Z38" i="2"/>
  <c r="O38" i="2"/>
  <c r="X38" i="2"/>
  <c r="H39" i="2"/>
  <c r="G39" i="2"/>
  <c r="E39" i="2"/>
  <c r="F39" i="2"/>
  <c r="D39" i="2"/>
  <c r="P39" i="2" l="1"/>
  <c r="Y39" i="2"/>
  <c r="M39" i="2"/>
  <c r="V39" i="2"/>
  <c r="Q39" i="2"/>
  <c r="Z39" i="2"/>
  <c r="N39" i="2"/>
  <c r="W39" i="2"/>
  <c r="O39" i="2"/>
  <c r="X39" i="2"/>
  <c r="G40" i="2"/>
  <c r="H40" i="2"/>
  <c r="E40" i="2"/>
  <c r="F40" i="2"/>
  <c r="D40" i="2"/>
  <c r="P40" i="2" l="1"/>
  <c r="Y40" i="2"/>
  <c r="N40" i="2"/>
  <c r="W40" i="2"/>
  <c r="Q40" i="2"/>
  <c r="Z40" i="2"/>
  <c r="M40" i="2"/>
  <c r="V40" i="2"/>
  <c r="O40" i="2"/>
  <c r="X40" i="2"/>
  <c r="E41" i="2"/>
  <c r="G41" i="2"/>
  <c r="F41" i="2"/>
  <c r="H41" i="2"/>
  <c r="D41" i="2"/>
  <c r="O41" i="2" l="1"/>
  <c r="X41" i="2"/>
  <c r="P41" i="2"/>
  <c r="Y41" i="2"/>
  <c r="M41" i="2"/>
  <c r="V41" i="2"/>
  <c r="N41" i="2"/>
  <c r="W41" i="2"/>
  <c r="Q41" i="2"/>
  <c r="Z41" i="2"/>
  <c r="E42" i="2"/>
  <c r="G42" i="2"/>
  <c r="F42" i="2"/>
  <c r="H42" i="2"/>
  <c r="D42" i="2"/>
  <c r="M42" i="2" l="1"/>
  <c r="V42" i="2"/>
  <c r="O42" i="2"/>
  <c r="X42" i="2"/>
  <c r="P42" i="2"/>
  <c r="Y42" i="2"/>
  <c r="N42" i="2"/>
  <c r="W42" i="2"/>
  <c r="Q42" i="2"/>
  <c r="Z42" i="2"/>
  <c r="E43" i="2"/>
  <c r="H43" i="2"/>
  <c r="G43" i="2"/>
  <c r="F43" i="2"/>
  <c r="D43" i="2"/>
  <c r="P43" i="2" l="1"/>
  <c r="Y43" i="2"/>
  <c r="Q43" i="2"/>
  <c r="Z43" i="2"/>
  <c r="M43" i="2"/>
  <c r="V43" i="2"/>
  <c r="N43" i="2"/>
  <c r="W43" i="2"/>
  <c r="O43" i="2"/>
  <c r="X43" i="2"/>
  <c r="G44" i="2"/>
  <c r="E44" i="2"/>
  <c r="H44" i="2"/>
  <c r="F44" i="2"/>
  <c r="D44" i="2"/>
  <c r="M44" i="2" l="1"/>
  <c r="V44" i="2"/>
  <c r="P44" i="2"/>
  <c r="Y44" i="2"/>
  <c r="Q44" i="2"/>
  <c r="Z44" i="2"/>
  <c r="N44" i="2"/>
  <c r="W44" i="2"/>
  <c r="O44" i="2"/>
  <c r="X44" i="2"/>
  <c r="G45" i="2"/>
  <c r="F45" i="2"/>
  <c r="E45" i="2"/>
  <c r="H45" i="2"/>
  <c r="D45" i="2"/>
  <c r="N45" i="2" l="1"/>
  <c r="W45" i="2"/>
  <c r="O45" i="2"/>
  <c r="X45" i="2"/>
  <c r="M45" i="2"/>
  <c r="V45" i="2"/>
  <c r="P45" i="2"/>
  <c r="Y45" i="2"/>
  <c r="Q45" i="2"/>
  <c r="Z45" i="2"/>
  <c r="G46" i="2"/>
  <c r="E46" i="2"/>
  <c r="F46" i="2"/>
  <c r="H46" i="2"/>
  <c r="D46" i="2"/>
  <c r="P46" i="2" l="1"/>
  <c r="Y46" i="2"/>
  <c r="Q46" i="2"/>
  <c r="Z46" i="2"/>
  <c r="O46" i="2"/>
  <c r="X46" i="2"/>
  <c r="N46" i="2"/>
  <c r="W46" i="2"/>
  <c r="M46" i="2"/>
  <c r="V46" i="2"/>
  <c r="F47" i="2"/>
  <c r="E47" i="2"/>
  <c r="G47" i="2"/>
  <c r="H47" i="2"/>
  <c r="D47" i="2"/>
  <c r="N47" i="2" l="1"/>
  <c r="W47" i="2"/>
  <c r="M47" i="2"/>
  <c r="V47" i="2"/>
  <c r="O47" i="2"/>
  <c r="X47" i="2"/>
  <c r="P47" i="2"/>
  <c r="Y47" i="2"/>
  <c r="Q47" i="2"/>
  <c r="Z47" i="2"/>
  <c r="F48" i="2"/>
  <c r="E48" i="2"/>
  <c r="H48" i="2"/>
  <c r="G48" i="2"/>
  <c r="D48" i="2"/>
  <c r="M48" i="2" l="1"/>
  <c r="V48" i="2"/>
  <c r="O48" i="2"/>
  <c r="X48" i="2"/>
  <c r="Q48" i="2"/>
  <c r="Z48" i="2"/>
  <c r="N48" i="2"/>
  <c r="W48" i="2"/>
  <c r="P48" i="2"/>
  <c r="Y48" i="2"/>
  <c r="G49" i="2"/>
  <c r="E49" i="2"/>
  <c r="H49" i="2"/>
  <c r="F49" i="2"/>
  <c r="D49" i="2"/>
  <c r="N49" i="2" l="1"/>
  <c r="W49" i="2"/>
  <c r="M49" i="2"/>
  <c r="V49" i="2"/>
  <c r="P49" i="2"/>
  <c r="Y49" i="2"/>
  <c r="Q49" i="2"/>
  <c r="Z49" i="2"/>
  <c r="O49" i="2"/>
  <c r="X49" i="2"/>
  <c r="H50" i="2"/>
  <c r="E50" i="2"/>
  <c r="G50" i="2"/>
  <c r="F50" i="2"/>
  <c r="D50" i="2"/>
  <c r="M50" i="2" l="1"/>
  <c r="V50" i="2"/>
  <c r="P50" i="2"/>
  <c r="Y50" i="2"/>
  <c r="N50" i="2"/>
  <c r="W50" i="2"/>
  <c r="Q50" i="2"/>
  <c r="Z50" i="2"/>
  <c r="O50" i="2"/>
  <c r="X50" i="2"/>
  <c r="G51" i="2"/>
  <c r="F51" i="2"/>
  <c r="E51" i="2"/>
  <c r="H51" i="2"/>
  <c r="D51" i="2"/>
  <c r="O51" i="2" l="1"/>
  <c r="X51" i="2"/>
  <c r="M51" i="2"/>
  <c r="V51" i="2"/>
  <c r="P51" i="2"/>
  <c r="Y51" i="2"/>
  <c r="N51" i="2"/>
  <c r="W51" i="2"/>
  <c r="Q51" i="2"/>
  <c r="Z51" i="2"/>
  <c r="E52" i="2"/>
  <c r="F52" i="2"/>
  <c r="H52" i="2"/>
  <c r="G52" i="2"/>
  <c r="D52" i="2"/>
  <c r="M52" i="2" l="1"/>
  <c r="V52" i="2"/>
  <c r="N52" i="2"/>
  <c r="W52" i="2"/>
  <c r="Q52" i="2"/>
  <c r="Z52" i="2"/>
  <c r="O52" i="2"/>
  <c r="X52" i="2"/>
  <c r="P52" i="2"/>
  <c r="Y52" i="2"/>
  <c r="G53" i="2"/>
  <c r="H53" i="2"/>
  <c r="E53" i="2"/>
  <c r="F53" i="2"/>
  <c r="D53" i="2"/>
  <c r="Q53" i="2" l="1"/>
  <c r="Z53" i="2"/>
  <c r="M53" i="2"/>
  <c r="V53" i="2"/>
  <c r="P53" i="2"/>
  <c r="Y53" i="2"/>
  <c r="N53" i="2"/>
  <c r="W53" i="2"/>
  <c r="O53" i="2"/>
  <c r="X53" i="2"/>
  <c r="L55" i="2"/>
  <c r="D54" i="2"/>
  <c r="D55" i="2" s="1"/>
  <c r="G10" i="1" s="1"/>
  <c r="C55" i="2"/>
  <c r="AJ13" i="2" l="1"/>
  <c r="F10" i="1"/>
  <c r="M54" i="2"/>
  <c r="V54" i="2"/>
  <c r="F11" i="1"/>
  <c r="E54" i="2"/>
  <c r="M55" i="2"/>
  <c r="G18" i="3" l="1"/>
  <c r="S18" i="3"/>
  <c r="G11" i="1"/>
  <c r="G12" i="1" s="1"/>
  <c r="F12" i="1"/>
  <c r="N54" i="2"/>
  <c r="N55" i="2" s="1"/>
  <c r="W54" i="2"/>
  <c r="F54" i="2"/>
  <c r="G54" i="2" s="1"/>
  <c r="E55" i="2"/>
  <c r="H10" i="1" s="1"/>
  <c r="AK13" i="2"/>
  <c r="S33" i="3" l="1"/>
  <c r="G33" i="3" s="1"/>
  <c r="S45" i="3"/>
  <c r="G45" i="3" s="1"/>
  <c r="H18" i="3"/>
  <c r="T18" i="3"/>
  <c r="P54" i="2"/>
  <c r="P55" i="2" s="1"/>
  <c r="Y54" i="2"/>
  <c r="O54" i="2"/>
  <c r="X54" i="2"/>
  <c r="F55" i="2"/>
  <c r="I10" i="1" s="1"/>
  <c r="G55" i="2"/>
  <c r="J10" i="1" s="1"/>
  <c r="O55" i="2"/>
  <c r="H54" i="2"/>
  <c r="AL13" i="2"/>
  <c r="H11" i="1"/>
  <c r="H12" i="1" s="1"/>
  <c r="T33" i="3" l="1"/>
  <c r="H33" i="3" s="1"/>
  <c r="T45" i="3"/>
  <c r="H45" i="3" s="1"/>
  <c r="V18" i="3"/>
  <c r="V45" i="3" s="1"/>
  <c r="J45" i="3" s="1"/>
  <c r="I18" i="3"/>
  <c r="U18" i="3"/>
  <c r="AN13" i="2"/>
  <c r="J18" i="3"/>
  <c r="Q54" i="2"/>
  <c r="Q55" i="2" s="1"/>
  <c r="W18" i="3" s="1"/>
  <c r="Z54" i="2"/>
  <c r="J11" i="1"/>
  <c r="J12" i="1" s="1"/>
  <c r="H55" i="2"/>
  <c r="K10" i="1" s="1"/>
  <c r="I11" i="1"/>
  <c r="I12" i="1" s="1"/>
  <c r="AM13" i="2"/>
  <c r="W33" i="3" l="1"/>
  <c r="W45" i="3"/>
  <c r="K45" i="3" s="1"/>
  <c r="U33" i="3"/>
  <c r="I33" i="3" s="1"/>
  <c r="U45" i="3"/>
  <c r="I45" i="3" s="1"/>
  <c r="K33" i="3"/>
  <c r="V33" i="3"/>
  <c r="AO13" i="2"/>
  <c r="K18" i="3"/>
  <c r="K11" i="1"/>
  <c r="K12" i="1" s="1"/>
  <c r="J33" i="3" l="1"/>
  <c r="X55" i="2"/>
  <c r="AM14" i="2" s="1"/>
  <c r="AM15" i="2" s="1"/>
  <c r="W55" i="2"/>
  <c r="AL14" i="2" s="1"/>
  <c r="AL15" i="2" s="1"/>
  <c r="Z55" i="2"/>
  <c r="AO14" i="2" s="1"/>
  <c r="AO15" i="2" s="1"/>
  <c r="V55" i="2"/>
  <c r="Y55" i="2"/>
  <c r="AN14" i="2" s="1"/>
  <c r="AN15" i="2" s="1"/>
  <c r="U55" i="2"/>
  <c r="J14" i="1" l="1"/>
  <c r="J15" i="1" s="1"/>
  <c r="V13" i="3" s="1"/>
  <c r="H14" i="1"/>
  <c r="H15" i="1" s="1"/>
  <c r="T13" i="3" s="1"/>
  <c r="I14" i="1"/>
  <c r="I15" i="1" s="1"/>
  <c r="U13" i="3" s="1"/>
  <c r="K14" i="1"/>
  <c r="K15" i="1" s="1"/>
  <c r="AJ14" i="2"/>
  <c r="AJ15" i="2" s="1"/>
  <c r="AK14" i="2"/>
  <c r="AK15" i="2" s="1"/>
  <c r="W13" i="3" l="1"/>
  <c r="K13" i="3" s="1"/>
  <c r="I13" i="3"/>
  <c r="U28" i="3"/>
  <c r="H13" i="3"/>
  <c r="V28" i="3"/>
  <c r="J13" i="3"/>
  <c r="K19" i="1"/>
  <c r="I19" i="1"/>
  <c r="H19" i="1"/>
  <c r="J19" i="1"/>
  <c r="J22" i="1"/>
  <c r="J23" i="1" s="1"/>
  <c r="J18" i="1"/>
  <c r="K22" i="1"/>
  <c r="K23" i="1" s="1"/>
  <c r="K18" i="1"/>
  <c r="H22" i="1"/>
  <c r="H23" i="1" s="1"/>
  <c r="H18" i="1"/>
  <c r="I22" i="1"/>
  <c r="I23" i="1" s="1"/>
  <c r="I18" i="1"/>
  <c r="G14" i="1"/>
  <c r="G15" i="1" s="1"/>
  <c r="S13" i="3" s="1"/>
  <c r="F14" i="1"/>
  <c r="F15" i="1" s="1"/>
  <c r="R13" i="3" s="1"/>
  <c r="F13" i="3" s="1"/>
  <c r="W28" i="3" l="1"/>
  <c r="T28" i="3"/>
  <c r="S35" i="3"/>
  <c r="T35" i="3" s="1"/>
  <c r="U35" i="3" s="1"/>
  <c r="V35" i="3" s="1"/>
  <c r="W35" i="3" s="1"/>
  <c r="S36" i="3"/>
  <c r="T36" i="3" s="1"/>
  <c r="U36" i="3" s="1"/>
  <c r="V36" i="3" s="1"/>
  <c r="W36" i="3" s="1"/>
  <c r="S28" i="3"/>
  <c r="G13" i="3"/>
  <c r="I15" i="3"/>
  <c r="J15" i="3"/>
  <c r="K15" i="3"/>
  <c r="H15" i="3"/>
  <c r="G19" i="1"/>
  <c r="F19" i="1"/>
  <c r="F15" i="3"/>
  <c r="I24" i="1"/>
  <c r="K24" i="1"/>
  <c r="F22" i="1"/>
  <c r="F23" i="1" s="1"/>
  <c r="F18" i="1"/>
  <c r="J24" i="1"/>
  <c r="H24" i="1"/>
  <c r="G22" i="1"/>
  <c r="G24" i="1" s="1"/>
  <c r="G18" i="1"/>
  <c r="G15" i="3" l="1"/>
  <c r="G23" i="1"/>
  <c r="F24" i="1"/>
  <c r="S21" i="3"/>
  <c r="U20" i="3"/>
  <c r="U47" i="3" s="1"/>
  <c r="I47" i="3" s="1"/>
  <c r="V20" i="3"/>
  <c r="V47" i="3" s="1"/>
  <c r="J47" i="3" s="1"/>
  <c r="S20" i="3"/>
  <c r="S47" i="3" s="1"/>
  <c r="G47" i="3" s="1"/>
  <c r="W20" i="3"/>
  <c r="W47" i="3" s="1"/>
  <c r="K47" i="3" s="1"/>
  <c r="T20" i="3"/>
  <c r="T47" i="3" s="1"/>
  <c r="H47" i="3" s="1"/>
  <c r="G36" i="3" l="1"/>
  <c r="S48" i="3"/>
  <c r="G48" i="3" s="1"/>
  <c r="G20" i="3"/>
  <c r="G35" i="3"/>
  <c r="J20" i="3"/>
  <c r="J35" i="3"/>
  <c r="H20" i="3"/>
  <c r="H35" i="3"/>
  <c r="I20" i="3"/>
  <c r="I35" i="3"/>
  <c r="K20" i="3"/>
  <c r="K35" i="3"/>
  <c r="T21" i="3"/>
  <c r="G21" i="3"/>
  <c r="H36" i="3" l="1"/>
  <c r="T48" i="3"/>
  <c r="H48" i="3" s="1"/>
  <c r="U21" i="3"/>
  <c r="H21" i="3"/>
  <c r="I36" i="3" l="1"/>
  <c r="U48" i="3"/>
  <c r="I48" i="3" s="1"/>
  <c r="V21" i="3"/>
  <c r="I21" i="3"/>
  <c r="J36" i="3" l="1"/>
  <c r="V48" i="3"/>
  <c r="J48" i="3" s="1"/>
  <c r="W21" i="3"/>
  <c r="W48" i="3" s="1"/>
  <c r="K48" i="3" s="1"/>
  <c r="J21" i="3"/>
  <c r="K21" i="3" l="1"/>
  <c r="K36" i="3"/>
  <c r="G22" i="3" l="1"/>
  <c r="H22" i="3"/>
  <c r="I22" i="3"/>
  <c r="J22" i="3"/>
  <c r="K22" i="3"/>
  <c r="F22" i="3"/>
  <c r="G28" i="3"/>
  <c r="G30" i="3" s="1"/>
  <c r="G37" i="3" s="1"/>
  <c r="H28" i="3"/>
  <c r="H30" i="3" s="1"/>
  <c r="H37" i="3" s="1"/>
  <c r="I28" i="3"/>
  <c r="I30" i="3" s="1"/>
  <c r="I37" i="3" s="1"/>
  <c r="J28" i="3"/>
  <c r="J30" i="3" s="1"/>
  <c r="J37" i="3" s="1"/>
  <c r="K28" i="3"/>
  <c r="K30" i="3" s="1"/>
  <c r="K37" i="3" s="1"/>
  <c r="F37" i="3"/>
  <c r="K54" i="3" l="1"/>
  <c r="K56" i="3"/>
  <c r="K49" i="3"/>
  <c r="K51" i="3" s="1"/>
  <c r="K52" i="3" s="1"/>
  <c r="K55" i="3"/>
  <c r="K57" i="3"/>
  <c r="F58" i="3"/>
  <c r="F56" i="3"/>
  <c r="F54" i="3"/>
  <c r="F49" i="3"/>
  <c r="F51" i="3" s="1"/>
  <c r="F52" i="3" s="1"/>
  <c r="F55" i="3"/>
  <c r="F57" i="3"/>
  <c r="I49" i="3"/>
  <c r="I51" i="3" s="1"/>
  <c r="I52" i="3" s="1"/>
  <c r="I54" i="3"/>
  <c r="I56" i="3"/>
  <c r="I55" i="3"/>
  <c r="I57" i="3"/>
  <c r="I58" i="3"/>
  <c r="G54" i="3"/>
  <c r="G56" i="3"/>
  <c r="G49" i="3"/>
  <c r="G51" i="3" s="1"/>
  <c r="G52" i="3" s="1"/>
  <c r="G55" i="3"/>
  <c r="G58" i="3"/>
  <c r="G57" i="3"/>
  <c r="J49" i="3"/>
  <c r="J51" i="3" s="1"/>
  <c r="J52" i="3" s="1"/>
  <c r="J56" i="3"/>
  <c r="J54" i="3"/>
  <c r="J55" i="3"/>
  <c r="J57" i="3"/>
  <c r="J58" i="3"/>
  <c r="H49" i="3"/>
  <c r="H51" i="3" s="1"/>
  <c r="H52" i="3" s="1"/>
  <c r="H54" i="3"/>
  <c r="H56" i="3"/>
  <c r="H55" i="3"/>
  <c r="H57" i="3"/>
  <c r="H58" i="3"/>
  <c r="K58" i="3"/>
</calcChain>
</file>

<file path=xl/comments1.xml><?xml version="1.0" encoding="utf-8"?>
<comments xmlns="http://schemas.openxmlformats.org/spreadsheetml/2006/main">
  <authors>
    <author>Conklin, Michael B</author>
  </authors>
  <commentList>
    <comment ref="F30" authorId="0" shapeId="0">
      <text>
        <r>
          <rPr>
            <sz val="9"/>
            <color indexed="81"/>
            <rFont val="Tahoma"/>
            <family val="2"/>
          </rPr>
          <t>Working Cash Allowance
+ Material &amp; Supplies
+ Prepayments
+ Other invested capital
+ Reconciling adjustment</t>
        </r>
      </text>
    </comment>
  </commentList>
</comments>
</file>

<file path=xl/sharedStrings.xml><?xml version="1.0" encoding="utf-8"?>
<sst xmlns="http://schemas.openxmlformats.org/spreadsheetml/2006/main" count="132" uniqueCount="83">
  <si>
    <t>Year</t>
  </si>
  <si>
    <t>Net Plant in Service</t>
  </si>
  <si>
    <t>Rate Base</t>
  </si>
  <si>
    <t>Gross plant in service</t>
  </si>
  <si>
    <t>Accumulated depreciation</t>
  </si>
  <si>
    <t>Accumulated deferred income tax</t>
  </si>
  <si>
    <t>Useful life (book)</t>
  </si>
  <si>
    <t>Useful life (tax)</t>
  </si>
  <si>
    <t>Tax rate</t>
  </si>
  <si>
    <t>RATE BASE</t>
  </si>
  <si>
    <t>Age/Year</t>
  </si>
  <si>
    <t>PLANT IN SERVICE</t>
  </si>
  <si>
    <t>Total</t>
  </si>
  <si>
    <t>BOOK DEPRECIATION</t>
  </si>
  <si>
    <t>TAX DEPRECIATION</t>
  </si>
  <si>
    <t>ACCUMULATED DEFERRED INCOME TAX</t>
  </si>
  <si>
    <t>ADIT</t>
  </si>
  <si>
    <t>Book</t>
  </si>
  <si>
    <t>Tax</t>
  </si>
  <si>
    <t>FORWARD CAPEX</t>
  </si>
  <si>
    <t>Equity Capitalization</t>
  </si>
  <si>
    <t>Invested Equity</t>
  </si>
  <si>
    <t>RETURN ON EQUITY</t>
  </si>
  <si>
    <t>DEPRECIATION</t>
  </si>
  <si>
    <t>BONUS</t>
  </si>
  <si>
    <t>BOOK</t>
  </si>
  <si>
    <t>TAX</t>
  </si>
  <si>
    <t>FACTOR</t>
  </si>
  <si>
    <t>First Year Fraction</t>
  </si>
  <si>
    <t>Allowances / exclusions (net)</t>
  </si>
  <si>
    <t>REVENUE REQUIREMENTS</t>
  </si>
  <si>
    <t>O&amp;M</t>
  </si>
  <si>
    <t>Operations &amp; maintenance</t>
  </si>
  <si>
    <t>Taxes other than income taxes</t>
  </si>
  <si>
    <t>Federal income tax</t>
  </si>
  <si>
    <t>Depreciation</t>
  </si>
  <si>
    <t>Amortization</t>
  </si>
  <si>
    <t>Other taxes</t>
  </si>
  <si>
    <t>Depreciation &amp; amortization</t>
  </si>
  <si>
    <t>Federal income taxes</t>
  </si>
  <si>
    <t>Revenue Requirements</t>
  </si>
  <si>
    <t>Inflation</t>
  </si>
  <si>
    <t>ASSUMPTIONS</t>
  </si>
  <si>
    <t>&lt;-- inflated at 2% annually</t>
  </si>
  <si>
    <t>Rate base</t>
  </si>
  <si>
    <t>&lt;-- reference plant in service tab</t>
  </si>
  <si>
    <t>&lt;-- straight line from year zero</t>
  </si>
  <si>
    <t>&lt;-- 25% indexed to inflation + 75% indexed to rate base</t>
  </si>
  <si>
    <t>&lt;-- indexed to rate base</t>
  </si>
  <si>
    <t>AUTHORIZED REVENUE REQUIREMENTS</t>
  </si>
  <si>
    <t>Authorized Returns</t>
  </si>
  <si>
    <t>Authorized Return</t>
  </si>
  <si>
    <t>Cost of Debt</t>
  </si>
  <si>
    <t>Authorized returns to equity holders</t>
  </si>
  <si>
    <t>RETURN ON CAPITAL</t>
  </si>
  <si>
    <t>Authorized returns</t>
  </si>
  <si>
    <t>Effective returns</t>
  </si>
  <si>
    <t>Effective returns to equity holders</t>
  </si>
  <si>
    <t>Authorized Return on Capital</t>
  </si>
  <si>
    <t>Effective Return on Capital</t>
  </si>
  <si>
    <t>Effective Return on Equity</t>
  </si>
  <si>
    <t>Authorized Return on Equity</t>
  </si>
  <si>
    <t>Debt Capitalization</t>
  </si>
  <si>
    <t>Cost of Equity</t>
  </si>
  <si>
    <t>Authorized rate of return</t>
  </si>
  <si>
    <t>&lt;-- reference plant in service tab with half-year lag</t>
  </si>
  <si>
    <t>REVENUE REQUIREMENTS ASSUMPTIONS</t>
  </si>
  <si>
    <t>AUTHORIZED REVENUE REQUIREMENTS ASSUMPTIONS</t>
  </si>
  <si>
    <t>Authorized Revenue Requirements</t>
  </si>
  <si>
    <t>&lt;-- half-year lag</t>
  </si>
  <si>
    <t xml:space="preserve">x  </t>
  </si>
  <si>
    <t>Rate case filed</t>
  </si>
  <si>
    <t>&lt;-- updates one year after a rate case filing</t>
  </si>
  <si>
    <t>&lt;-- rate case filed on january 1 with a test year of prior year</t>
  </si>
  <si>
    <t>&lt;-- indexed to rate base growth</t>
  </si>
  <si>
    <t>PERFORMANCE</t>
  </si>
  <si>
    <t>Revenue</t>
  </si>
  <si>
    <t>Net operating profit after tax</t>
  </si>
  <si>
    <t>Demand Growth</t>
  </si>
  <si>
    <t>Return on Capital</t>
  </si>
  <si>
    <t>Return on Equity</t>
  </si>
  <si>
    <t>Cost of debt</t>
  </si>
  <si>
    <t>Equity capitalization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</si>
</sst>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,##0.000_);\(#,##0.000\)"/>
    <numFmt numFmtId="165" formatCode="#,##0.0_);\(#,##0.0\)"/>
    <numFmt numFmtId="166" formatCode="0.0%"/>
    <numFmt numFmtId="167" formatCode="0.00000%"/>
    <numFmt numFmtId="168" formatCode="#,##0.0000000000000_);\(#,##0.0000000000000\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dotted">
        <color rgb="FF002060"/>
      </left>
      <right style="dotted">
        <color rgb="FF002060"/>
      </right>
      <top style="dotted">
        <color rgb="FF002060"/>
      </top>
      <bottom style="dotted">
        <color rgb="FF002060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37" fontId="0" fillId="0" borderId="0" xfId="0" applyNumberFormat="1"/>
    <xf numFmtId="37" fontId="1" fillId="0" borderId="1" xfId="0" applyNumberFormat="1" applyFont="1" applyBorder="1"/>
    <xf numFmtId="37" fontId="1" fillId="0" borderId="0" xfId="0" applyNumberFormat="1" applyFont="1" applyAlignment="1">
      <alignment horizontal="right"/>
    </xf>
    <xf numFmtId="0" fontId="0" fillId="0" borderId="0" xfId="0" applyFont="1"/>
    <xf numFmtId="37" fontId="0" fillId="0" borderId="3" xfId="0" applyNumberFormat="1" applyFont="1" applyBorder="1"/>
    <xf numFmtId="9" fontId="3" fillId="2" borderId="2" xfId="1" applyFont="1" applyFill="1" applyBorder="1"/>
    <xf numFmtId="37" fontId="3" fillId="2" borderId="2" xfId="0" applyNumberFormat="1" applyFont="1" applyFill="1" applyBorder="1"/>
    <xf numFmtId="37" fontId="4" fillId="0" borderId="0" xfId="0" applyNumberFormat="1" applyFont="1"/>
    <xf numFmtId="37" fontId="0" fillId="0" borderId="0" xfId="1" applyNumberFormat="1" applyFont="1" applyBorder="1"/>
    <xf numFmtId="9" fontId="0" fillId="0" borderId="0" xfId="0" applyNumberFormat="1"/>
    <xf numFmtId="164" fontId="0" fillId="0" borderId="0" xfId="0" applyNumberFormat="1"/>
    <xf numFmtId="2" fontId="0" fillId="0" borderId="0" xfId="0" applyNumberFormat="1"/>
    <xf numFmtId="0" fontId="1" fillId="0" borderId="0" xfId="0" applyFont="1" applyAlignment="1">
      <alignment horizontal="right"/>
    </xf>
    <xf numFmtId="165" fontId="3" fillId="2" borderId="2" xfId="0" applyNumberFormat="1" applyFont="1" applyFill="1" applyBorder="1"/>
    <xf numFmtId="37" fontId="3" fillId="2" borderId="2" xfId="1" applyNumberFormat="1" applyFont="1" applyFill="1" applyBorder="1"/>
    <xf numFmtId="37" fontId="7" fillId="0" borderId="0" xfId="0" applyNumberFormat="1" applyFont="1"/>
    <xf numFmtId="0" fontId="1" fillId="3" borderId="0" xfId="0" applyFont="1" applyFill="1"/>
    <xf numFmtId="0" fontId="0" fillId="3" borderId="0" xfId="0" applyFill="1"/>
    <xf numFmtId="37" fontId="4" fillId="3" borderId="0" xfId="0" applyNumberFormat="1" applyFont="1" applyFill="1"/>
    <xf numFmtId="37" fontId="7" fillId="2" borderId="2" xfId="1" applyNumberFormat="1" applyFont="1" applyFill="1" applyBorder="1"/>
    <xf numFmtId="37" fontId="9" fillId="0" borderId="1" xfId="0" applyNumberFormat="1" applyFont="1" applyBorder="1"/>
    <xf numFmtId="0" fontId="8" fillId="0" borderId="0" xfId="0" applyFont="1" applyAlignment="1">
      <alignment horizontal="left" indent="1"/>
    </xf>
    <xf numFmtId="166" fontId="3" fillId="2" borderId="2" xfId="1" applyNumberFormat="1" applyFont="1" applyFill="1" applyBorder="1"/>
    <xf numFmtId="166" fontId="7" fillId="0" borderId="0" xfId="1" applyNumberFormat="1" applyFont="1" applyFill="1" applyBorder="1"/>
    <xf numFmtId="37" fontId="0" fillId="0" borderId="1" xfId="0" applyNumberFormat="1" applyFont="1" applyBorder="1"/>
    <xf numFmtId="10" fontId="3" fillId="2" borderId="2" xfId="1" applyNumberFormat="1" applyFont="1" applyFill="1" applyBorder="1"/>
    <xf numFmtId="37" fontId="0" fillId="0" borderId="0" xfId="0" applyNumberFormat="1" applyFont="1" applyBorder="1"/>
    <xf numFmtId="10" fontId="7" fillId="0" borderId="0" xfId="1" applyNumberFormat="1" applyFont="1" applyFill="1" applyBorder="1"/>
    <xf numFmtId="37" fontId="7" fillId="0" borderId="0" xfId="0" applyNumberFormat="1" applyFont="1" applyBorder="1"/>
    <xf numFmtId="10" fontId="0" fillId="0" borderId="0" xfId="0" applyNumberFormat="1"/>
    <xf numFmtId="10" fontId="7" fillId="2" borderId="2" xfId="1" applyNumberFormat="1" applyFont="1" applyFill="1" applyBorder="1"/>
    <xf numFmtId="37" fontId="6" fillId="2" borderId="2" xfId="1" applyNumberFormat="1" applyFont="1" applyFill="1" applyBorder="1"/>
    <xf numFmtId="49" fontId="7" fillId="2" borderId="2" xfId="1" applyNumberFormat="1" applyFont="1" applyFill="1" applyBorder="1" applyAlignment="1">
      <alignment horizontal="right"/>
    </xf>
    <xf numFmtId="0" fontId="0" fillId="0" borderId="0" xfId="0" quotePrefix="1"/>
    <xf numFmtId="166" fontId="0" fillId="0" borderId="0" xfId="1" applyNumberFormat="1" applyFont="1"/>
    <xf numFmtId="0" fontId="8" fillId="0" borderId="0" xfId="0" applyFont="1"/>
    <xf numFmtId="166" fontId="8" fillId="0" borderId="0" xfId="1" applyNumberFormat="1" applyFont="1"/>
    <xf numFmtId="167" fontId="0" fillId="0" borderId="0" xfId="0" applyNumberFormat="1"/>
    <xf numFmtId="37" fontId="1" fillId="0" borderId="0" xfId="0" applyNumberFormat="1" applyFont="1" applyFill="1" applyBorder="1"/>
    <xf numFmtId="168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32"/>
  <sheetViews>
    <sheetView showGridLines="0" tabSelected="1" workbookViewId="0">
      <selection activeCell="E6" sqref="E6"/>
    </sheetView>
  </sheetViews>
  <sheetFormatPr defaultRowHeight="15" x14ac:dyDescent="0.25"/>
  <cols>
    <col min="13" max="13" width="16.42578125" bestFit="1" customWidth="1"/>
  </cols>
  <sheetData>
    <row r="2" spans="2:13" x14ac:dyDescent="0.25">
      <c r="B2" t="s">
        <v>61</v>
      </c>
      <c r="E2" s="24">
        <v>0.1</v>
      </c>
      <c r="H2" t="s">
        <v>20</v>
      </c>
      <c r="K2" s="24">
        <v>0.45</v>
      </c>
    </row>
    <row r="3" spans="2:13" x14ac:dyDescent="0.25">
      <c r="B3" t="s">
        <v>58</v>
      </c>
      <c r="E3" s="27">
        <v>0.08</v>
      </c>
      <c r="H3" t="s">
        <v>62</v>
      </c>
      <c r="K3" s="25">
        <f>1-K2</f>
        <v>0.55000000000000004</v>
      </c>
    </row>
    <row r="4" spans="2:13" x14ac:dyDescent="0.25">
      <c r="B4" t="s">
        <v>59</v>
      </c>
      <c r="E4" s="27">
        <v>5.8000000000000003E-2</v>
      </c>
      <c r="H4" t="s">
        <v>63</v>
      </c>
      <c r="K4" s="25">
        <f>E2</f>
        <v>0.1</v>
      </c>
    </row>
    <row r="5" spans="2:13" x14ac:dyDescent="0.25">
      <c r="B5" t="s">
        <v>60</v>
      </c>
      <c r="E5" s="27">
        <v>7.9000000000000001E-2</v>
      </c>
      <c r="H5" t="s">
        <v>52</v>
      </c>
      <c r="K5" s="25">
        <f>(E3-K2*E2)/(1-K2)</f>
        <v>6.363636363636363E-2</v>
      </c>
    </row>
    <row r="6" spans="2:13" x14ac:dyDescent="0.25">
      <c r="E6" s="11"/>
    </row>
    <row r="7" spans="2:13" x14ac:dyDescent="0.25">
      <c r="E7" s="11"/>
    </row>
    <row r="8" spans="2:13" x14ac:dyDescent="0.25">
      <c r="B8" s="1" t="s">
        <v>9</v>
      </c>
    </row>
    <row r="9" spans="2:13" x14ac:dyDescent="0.25">
      <c r="B9" s="1" t="s">
        <v>0</v>
      </c>
      <c r="C9" s="1"/>
      <c r="D9" s="1"/>
      <c r="E9" s="1"/>
      <c r="F9" s="9">
        <v>0</v>
      </c>
      <c r="G9" s="9">
        <v>1</v>
      </c>
      <c r="H9" s="9">
        <v>2</v>
      </c>
      <c r="I9" s="9">
        <v>3</v>
      </c>
      <c r="J9" s="9">
        <v>4</v>
      </c>
      <c r="K9" s="9">
        <v>5</v>
      </c>
    </row>
    <row r="10" spans="2:13" x14ac:dyDescent="0.25">
      <c r="B10" t="s">
        <v>3</v>
      </c>
      <c r="F10" s="17">
        <f>'Plant in Service'!C55</f>
        <v>2000.0000000000364</v>
      </c>
      <c r="G10" s="17">
        <f>'Plant in Service'!D55</f>
        <v>2150.0000000000364</v>
      </c>
      <c r="H10" s="17">
        <f>'Plant in Service'!E55</f>
        <v>2310.0000000000359</v>
      </c>
      <c r="I10" s="17">
        <f>'Plant in Service'!F55</f>
        <v>2490.0000000000359</v>
      </c>
      <c r="J10" s="17">
        <f>'Plant in Service'!G55</f>
        <v>2640.0000000000364</v>
      </c>
      <c r="K10" s="17">
        <f>'Plant in Service'!H55</f>
        <v>2785.0000000000368</v>
      </c>
    </row>
    <row r="11" spans="2:13" x14ac:dyDescent="0.25">
      <c r="B11" t="s">
        <v>4</v>
      </c>
      <c r="F11" s="17">
        <f>-'Plant in Service'!L55</f>
        <v>-400.00000000001472</v>
      </c>
      <c r="G11" s="17">
        <f>-'Plant in Service'!M55</f>
        <v>-451.72500000001565</v>
      </c>
      <c r="H11" s="17">
        <f>-'Plant in Service'!N55</f>
        <v>-505.61928180214875</v>
      </c>
      <c r="I11" s="17">
        <f>-'Plant in Service'!O55</f>
        <v>-561.83088601510019</v>
      </c>
      <c r="J11" s="17">
        <f>-'Plant in Service'!P55</f>
        <v>-621.65894666204747</v>
      </c>
      <c r="K11" s="17">
        <f>-'Plant in Service'!Q55</f>
        <v>-684.75671419264199</v>
      </c>
    </row>
    <row r="12" spans="2:13" x14ac:dyDescent="0.25">
      <c r="B12" s="5" t="s">
        <v>1</v>
      </c>
      <c r="C12" s="5"/>
      <c r="D12" s="5"/>
      <c r="E12" s="5"/>
      <c r="F12" s="26">
        <f t="shared" ref="F12:K12" si="0">SUM(F10:F11)</f>
        <v>1600.0000000000216</v>
      </c>
      <c r="G12" s="26">
        <f t="shared" si="0"/>
        <v>1698.2750000000208</v>
      </c>
      <c r="H12" s="26">
        <f t="shared" si="0"/>
        <v>1804.3807181978873</v>
      </c>
      <c r="I12" s="26">
        <f t="shared" si="0"/>
        <v>1928.1691139849358</v>
      </c>
      <c r="J12" s="26">
        <f t="shared" si="0"/>
        <v>2018.3410533379888</v>
      </c>
      <c r="K12" s="26">
        <f t="shared" si="0"/>
        <v>2100.2432858073948</v>
      </c>
    </row>
    <row r="13" spans="2:13" x14ac:dyDescent="0.25">
      <c r="B13" t="s">
        <v>29</v>
      </c>
      <c r="F13" s="2">
        <f>F30</f>
        <v>56.657890000000002</v>
      </c>
      <c r="G13" s="2">
        <f>F13</f>
        <v>56.657890000000002</v>
      </c>
      <c r="H13" s="2">
        <f t="shared" ref="H13:K13" si="1">G13</f>
        <v>56.657890000000002</v>
      </c>
      <c r="I13" s="2">
        <f t="shared" si="1"/>
        <v>56.657890000000002</v>
      </c>
      <c r="J13" s="2">
        <f t="shared" si="1"/>
        <v>56.657890000000002</v>
      </c>
      <c r="K13" s="2">
        <f t="shared" si="1"/>
        <v>56.657890000000002</v>
      </c>
    </row>
    <row r="14" spans="2:13" x14ac:dyDescent="0.25">
      <c r="B14" t="s">
        <v>5</v>
      </c>
      <c r="F14" s="2">
        <f>-'Plant in Service'!AJ15</f>
        <v>-300.49999999999335</v>
      </c>
      <c r="G14" s="2">
        <f>-'Plant in Service'!AK15</f>
        <v>-312.51347837333611</v>
      </c>
      <c r="H14" s="2">
        <f>-'Plant in Service'!AL15</f>
        <v>-352.33478060436073</v>
      </c>
      <c r="I14" s="2">
        <f>-'Plant in Service'!AM15</f>
        <v>-356.64012698291208</v>
      </c>
      <c r="J14" s="2">
        <f>-'Plant in Service'!AN15</f>
        <v>-392.96223943820826</v>
      </c>
      <c r="K14" s="2">
        <f>-'Plant in Service'!AO15</f>
        <v>-426.59950875683882</v>
      </c>
    </row>
    <row r="15" spans="2:13" x14ac:dyDescent="0.25">
      <c r="B15" s="1" t="s">
        <v>2</v>
      </c>
      <c r="F15" s="3">
        <f t="shared" ref="F15:K15" si="2">SUM(F12:F14)</f>
        <v>1356.1578900000281</v>
      </c>
      <c r="G15" s="3">
        <f t="shared" si="2"/>
        <v>1442.4194116266847</v>
      </c>
      <c r="H15" s="3">
        <f t="shared" si="2"/>
        <v>1508.7038275935265</v>
      </c>
      <c r="I15" s="3">
        <f t="shared" si="2"/>
        <v>1628.1868770020237</v>
      </c>
      <c r="J15" s="3">
        <f t="shared" si="2"/>
        <v>1682.0367038997806</v>
      </c>
      <c r="K15" s="3">
        <f t="shared" si="2"/>
        <v>1730.301667050556</v>
      </c>
      <c r="M15" s="40"/>
    </row>
    <row r="16" spans="2:13" x14ac:dyDescent="0.25">
      <c r="M16" s="41"/>
    </row>
    <row r="17" spans="2:11" x14ac:dyDescent="0.25">
      <c r="B17" s="1" t="s">
        <v>54</v>
      </c>
    </row>
    <row r="18" spans="2:11" x14ac:dyDescent="0.25">
      <c r="B18" t="s">
        <v>55</v>
      </c>
      <c r="F18" s="10">
        <f>F15*$E$3</f>
        <v>108.49263120000225</v>
      </c>
      <c r="G18" s="10">
        <f t="shared" ref="G18:K18" si="3">G15*$E$3</f>
        <v>115.39355293013477</v>
      </c>
      <c r="H18" s="10">
        <f t="shared" si="3"/>
        <v>120.69630620748212</v>
      </c>
      <c r="I18" s="10">
        <f t="shared" si="3"/>
        <v>130.25495016016191</v>
      </c>
      <c r="J18" s="10">
        <f t="shared" si="3"/>
        <v>134.56293631198244</v>
      </c>
      <c r="K18" s="10">
        <f t="shared" si="3"/>
        <v>138.42413336404448</v>
      </c>
    </row>
    <row r="19" spans="2:11" x14ac:dyDescent="0.25">
      <c r="B19" s="5" t="s">
        <v>56</v>
      </c>
      <c r="F19" s="10">
        <f>F15*$E$4</f>
        <v>78.657157620001641</v>
      </c>
      <c r="G19" s="10">
        <f t="shared" ref="G19:K19" si="4">G15*$E$4</f>
        <v>83.66032587434772</v>
      </c>
      <c r="H19" s="10">
        <f t="shared" si="4"/>
        <v>87.504822000424539</v>
      </c>
      <c r="I19" s="10">
        <f t="shared" si="4"/>
        <v>94.434838866117374</v>
      </c>
      <c r="J19" s="10">
        <f t="shared" si="4"/>
        <v>97.558128826187286</v>
      </c>
      <c r="K19" s="10">
        <f t="shared" si="4"/>
        <v>100.35749668893226</v>
      </c>
    </row>
    <row r="21" spans="2:11" x14ac:dyDescent="0.25">
      <c r="B21" s="1" t="s">
        <v>22</v>
      </c>
    </row>
    <row r="22" spans="2:11" x14ac:dyDescent="0.25">
      <c r="B22" t="s">
        <v>21</v>
      </c>
      <c r="F22" s="10">
        <f t="shared" ref="F22:K22" si="5">F15*$K$2</f>
        <v>610.27105050001273</v>
      </c>
      <c r="G22" s="10">
        <f t="shared" si="5"/>
        <v>649.08873523200816</v>
      </c>
      <c r="H22" s="10">
        <f t="shared" si="5"/>
        <v>678.91672241708693</v>
      </c>
      <c r="I22" s="10">
        <f t="shared" si="5"/>
        <v>732.68409465091065</v>
      </c>
      <c r="J22" s="10">
        <f t="shared" si="5"/>
        <v>756.91651675490129</v>
      </c>
      <c r="K22" s="10">
        <f t="shared" si="5"/>
        <v>778.63575017275025</v>
      </c>
    </row>
    <row r="23" spans="2:11" x14ac:dyDescent="0.25">
      <c r="B23" s="5" t="s">
        <v>53</v>
      </c>
      <c r="F23" s="28">
        <f>F22*$E$2</f>
        <v>61.027105050001275</v>
      </c>
      <c r="G23" s="28">
        <f t="shared" ref="G23:K23" si="6">G22*$E$2</f>
        <v>64.908873523200825</v>
      </c>
      <c r="H23" s="28">
        <f t="shared" si="6"/>
        <v>67.89167224170869</v>
      </c>
      <c r="I23" s="28">
        <f t="shared" si="6"/>
        <v>73.268409465091068</v>
      </c>
      <c r="J23" s="28">
        <f t="shared" si="6"/>
        <v>75.691651675490135</v>
      </c>
      <c r="K23" s="28">
        <f t="shared" si="6"/>
        <v>77.863575017275025</v>
      </c>
    </row>
    <row r="24" spans="2:11" x14ac:dyDescent="0.25">
      <c r="B24" s="5" t="s">
        <v>57</v>
      </c>
      <c r="C24" s="5"/>
      <c r="D24" s="5"/>
      <c r="E24" s="5"/>
      <c r="F24" s="28">
        <f>F22*$E$5</f>
        <v>48.211412989501007</v>
      </c>
      <c r="G24" s="28">
        <f t="shared" ref="G24:K24" si="7">G22*$E$5</f>
        <v>51.278010083328645</v>
      </c>
      <c r="H24" s="28">
        <f t="shared" si="7"/>
        <v>53.63442107094987</v>
      </c>
      <c r="I24" s="28">
        <f t="shared" si="7"/>
        <v>57.882043477421945</v>
      </c>
      <c r="J24" s="28">
        <f t="shared" si="7"/>
        <v>59.796404823637204</v>
      </c>
      <c r="K24" s="28">
        <f t="shared" si="7"/>
        <v>61.512224263647269</v>
      </c>
    </row>
    <row r="28" spans="2:11" x14ac:dyDescent="0.25">
      <c r="B28" s="18" t="s">
        <v>42</v>
      </c>
      <c r="C28" s="19"/>
      <c r="D28" s="19"/>
      <c r="E28" s="19"/>
      <c r="F28" s="19"/>
      <c r="G28" s="19"/>
      <c r="H28" s="19"/>
      <c r="I28" s="19"/>
      <c r="J28" s="19"/>
      <c r="K28" s="19"/>
    </row>
    <row r="29" spans="2:11" x14ac:dyDescent="0.25">
      <c r="B29" s="19"/>
      <c r="C29" s="19"/>
      <c r="D29" s="19"/>
      <c r="E29" s="19"/>
      <c r="F29" s="20">
        <v>0</v>
      </c>
      <c r="G29" s="20">
        <v>1</v>
      </c>
      <c r="H29" s="20">
        <v>2</v>
      </c>
      <c r="I29" s="20">
        <v>3</v>
      </c>
      <c r="J29" s="20">
        <v>4</v>
      </c>
      <c r="K29" s="20">
        <v>5</v>
      </c>
    </row>
    <row r="30" spans="2:11" x14ac:dyDescent="0.25">
      <c r="B30" s="19" t="s">
        <v>29</v>
      </c>
      <c r="C30" s="19"/>
      <c r="D30" s="19"/>
      <c r="E30" s="19"/>
      <c r="F30" s="16">
        <f>-0.834+6.505+2.10389+49.883-1</f>
        <v>56.657890000000002</v>
      </c>
      <c r="G30" s="16">
        <f t="shared" ref="G30:K30" si="8">F30</f>
        <v>56.657890000000002</v>
      </c>
      <c r="H30" s="16">
        <f t="shared" si="8"/>
        <v>56.657890000000002</v>
      </c>
      <c r="I30" s="16">
        <f t="shared" si="8"/>
        <v>56.657890000000002</v>
      </c>
      <c r="J30" s="16">
        <f t="shared" si="8"/>
        <v>56.657890000000002</v>
      </c>
      <c r="K30" s="16">
        <f t="shared" si="8"/>
        <v>56.657890000000002</v>
      </c>
    </row>
    <row r="31" spans="2:11" x14ac:dyDescent="0.25">
      <c r="B31" s="19"/>
      <c r="C31" s="19"/>
      <c r="D31" s="19"/>
      <c r="E31" s="19"/>
      <c r="F31" s="19"/>
      <c r="G31" s="19"/>
      <c r="H31" s="19"/>
      <c r="I31" s="19"/>
      <c r="J31" s="19"/>
      <c r="K31" s="19"/>
    </row>
    <row r="32" spans="2:11" x14ac:dyDescent="0.25">
      <c r="B32" s="19"/>
      <c r="C32" s="19"/>
      <c r="D32" s="19"/>
      <c r="E32" s="19"/>
      <c r="F32" s="19"/>
      <c r="G32" s="19"/>
      <c r="H32" s="19"/>
      <c r="I32" s="19"/>
      <c r="J32" s="19"/>
      <c r="K32" s="19"/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X58"/>
  <sheetViews>
    <sheetView showGridLines="0" workbookViewId="0">
      <selection activeCell="S48" sqref="S48"/>
    </sheetView>
  </sheetViews>
  <sheetFormatPr defaultRowHeight="15" x14ac:dyDescent="0.25"/>
  <sheetData>
    <row r="2" spans="2:24" x14ac:dyDescent="0.25">
      <c r="B2" t="s">
        <v>41</v>
      </c>
      <c r="E2" s="24">
        <v>0.02</v>
      </c>
    </row>
    <row r="3" spans="2:24" x14ac:dyDescent="0.25">
      <c r="B3" t="s">
        <v>78</v>
      </c>
      <c r="E3" s="24">
        <v>1.7000000000000001E-2</v>
      </c>
    </row>
    <row r="4" spans="2:24" x14ac:dyDescent="0.25">
      <c r="B4" t="s">
        <v>51</v>
      </c>
      <c r="E4" s="29">
        <f>'Rate Base Model L1'!E3</f>
        <v>0.08</v>
      </c>
    </row>
    <row r="5" spans="2:24" x14ac:dyDescent="0.25">
      <c r="B5" t="s">
        <v>20</v>
      </c>
      <c r="E5" s="25">
        <f>'Rate Base Model L1'!K2</f>
        <v>0.45</v>
      </c>
    </row>
    <row r="6" spans="2:24" x14ac:dyDescent="0.25">
      <c r="B6" t="s">
        <v>62</v>
      </c>
      <c r="E6" s="25">
        <f>'Rate Base Model L1'!K3</f>
        <v>0.55000000000000004</v>
      </c>
    </row>
    <row r="7" spans="2:24" x14ac:dyDescent="0.25">
      <c r="B7" t="s">
        <v>63</v>
      </c>
      <c r="E7" s="25">
        <f>'Rate Base Model L1'!K4</f>
        <v>0.1</v>
      </c>
    </row>
    <row r="8" spans="2:24" x14ac:dyDescent="0.25">
      <c r="B8" t="s">
        <v>52</v>
      </c>
      <c r="E8" s="25">
        <f>'Rate Base Model L1'!K5</f>
        <v>6.363636363636363E-2</v>
      </c>
      <c r="F8" s="39"/>
    </row>
    <row r="11" spans="2:24" x14ac:dyDescent="0.25">
      <c r="B11" s="1" t="s">
        <v>30</v>
      </c>
      <c r="N11" s="18" t="s">
        <v>66</v>
      </c>
      <c r="O11" s="19"/>
      <c r="P11" s="19"/>
      <c r="Q11" s="19"/>
      <c r="R11" s="19"/>
      <c r="S11" s="19"/>
      <c r="T11" s="19"/>
      <c r="U11" s="19"/>
      <c r="V11" s="19"/>
      <c r="W11" s="19"/>
    </row>
    <row r="12" spans="2:24" x14ac:dyDescent="0.25">
      <c r="B12" s="1"/>
      <c r="F12" s="9">
        <v>0</v>
      </c>
      <c r="G12" s="9">
        <v>1</v>
      </c>
      <c r="H12" s="9">
        <v>2</v>
      </c>
      <c r="I12" s="9">
        <v>3</v>
      </c>
      <c r="J12" s="9">
        <v>4</v>
      </c>
      <c r="K12" s="9">
        <v>5</v>
      </c>
      <c r="N12" s="19"/>
      <c r="O12" s="19"/>
      <c r="P12" s="19"/>
      <c r="Q12" s="19"/>
      <c r="R12" s="20">
        <v>0</v>
      </c>
      <c r="S12" s="20">
        <v>1</v>
      </c>
      <c r="T12" s="20">
        <v>2</v>
      </c>
      <c r="U12" s="20">
        <v>3</v>
      </c>
      <c r="V12" s="20">
        <v>4</v>
      </c>
      <c r="W12" s="20">
        <v>5</v>
      </c>
    </row>
    <row r="13" spans="2:24" x14ac:dyDescent="0.25">
      <c r="B13" s="5" t="s">
        <v>44</v>
      </c>
      <c r="C13" s="5"/>
      <c r="D13" s="5"/>
      <c r="E13" s="5"/>
      <c r="F13" s="30">
        <f t="shared" ref="F13:K14" si="0">R13</f>
        <v>1356.1578900000281</v>
      </c>
      <c r="G13" s="30">
        <f t="shared" si="0"/>
        <v>1442.4194116266847</v>
      </c>
      <c r="H13" s="30">
        <f t="shared" si="0"/>
        <v>1508.7038275935265</v>
      </c>
      <c r="I13" s="30">
        <f t="shared" si="0"/>
        <v>1628.1868770020237</v>
      </c>
      <c r="J13" s="30">
        <f t="shared" si="0"/>
        <v>1682.0367038997806</v>
      </c>
      <c r="K13" s="30">
        <f t="shared" si="0"/>
        <v>1730.301667050556</v>
      </c>
      <c r="N13" s="19" t="s">
        <v>44</v>
      </c>
      <c r="O13" s="19"/>
      <c r="P13" s="19"/>
      <c r="Q13" s="19"/>
      <c r="R13" s="21">
        <f>'Rate Base Model L1'!F15</f>
        <v>1356.1578900000281</v>
      </c>
      <c r="S13" s="21">
        <f>'Rate Base Model L1'!G15</f>
        <v>1442.4194116266847</v>
      </c>
      <c r="T13" s="21">
        <f>'Rate Base Model L1'!H15</f>
        <v>1508.7038275935265</v>
      </c>
      <c r="U13" s="21">
        <f>'Rate Base Model L1'!I15</f>
        <v>1628.1868770020237</v>
      </c>
      <c r="V13" s="21">
        <f>'Rate Base Model L1'!J15</f>
        <v>1682.0367038997806</v>
      </c>
      <c r="W13" s="21">
        <f>'Rate Base Model L1'!K15</f>
        <v>1730.301667050556</v>
      </c>
    </row>
    <row r="14" spans="2:24" x14ac:dyDescent="0.25">
      <c r="B14" t="s">
        <v>64</v>
      </c>
      <c r="F14" s="31">
        <f t="shared" si="0"/>
        <v>0.08</v>
      </c>
      <c r="G14" s="31">
        <f t="shared" si="0"/>
        <v>0.08</v>
      </c>
      <c r="H14" s="31">
        <f t="shared" si="0"/>
        <v>0.08</v>
      </c>
      <c r="I14" s="31">
        <f t="shared" si="0"/>
        <v>0.08</v>
      </c>
      <c r="J14" s="31">
        <f t="shared" si="0"/>
        <v>0.08</v>
      </c>
      <c r="K14" s="31">
        <f t="shared" si="0"/>
        <v>0.08</v>
      </c>
      <c r="N14" s="19" t="s">
        <v>64</v>
      </c>
      <c r="O14" s="19"/>
      <c r="P14" s="19"/>
      <c r="Q14" s="19"/>
      <c r="R14" s="32">
        <f>$E$4</f>
        <v>0.08</v>
      </c>
      <c r="S14" s="32">
        <f t="shared" ref="S14:W14" si="1">$E$4</f>
        <v>0.08</v>
      </c>
      <c r="T14" s="32">
        <f t="shared" si="1"/>
        <v>0.08</v>
      </c>
      <c r="U14" s="32">
        <f t="shared" si="1"/>
        <v>0.08</v>
      </c>
      <c r="V14" s="32">
        <f t="shared" si="1"/>
        <v>0.08</v>
      </c>
      <c r="W14" s="32">
        <f t="shared" si="1"/>
        <v>0.08</v>
      </c>
    </row>
    <row r="15" spans="2:24" x14ac:dyDescent="0.25">
      <c r="B15" s="1" t="s">
        <v>50</v>
      </c>
      <c r="C15" s="1"/>
      <c r="D15" s="1"/>
      <c r="E15" s="1"/>
      <c r="F15" s="22">
        <f>F13*F14</f>
        <v>108.49263120000225</v>
      </c>
      <c r="G15" s="22">
        <f t="shared" ref="G15:K15" si="2">G13*G14</f>
        <v>115.39355293013477</v>
      </c>
      <c r="H15" s="22">
        <f t="shared" si="2"/>
        <v>120.69630620748212</v>
      </c>
      <c r="I15" s="22">
        <f t="shared" si="2"/>
        <v>130.25495016016191</v>
      </c>
      <c r="J15" s="22">
        <f t="shared" si="2"/>
        <v>134.56293631198244</v>
      </c>
      <c r="K15" s="22">
        <f t="shared" si="2"/>
        <v>138.42413336404448</v>
      </c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23"/>
    </row>
    <row r="16" spans="2:24" x14ac:dyDescent="0.25">
      <c r="F16" s="17"/>
      <c r="G16" s="17"/>
      <c r="H16" s="17"/>
      <c r="I16" s="17"/>
      <c r="J16" s="17"/>
      <c r="K16" s="17"/>
      <c r="N16" s="19"/>
      <c r="O16" s="19"/>
      <c r="P16" s="19"/>
      <c r="Q16" s="19"/>
      <c r="R16" s="19"/>
      <c r="S16" s="19"/>
      <c r="T16" s="19"/>
      <c r="U16" s="19"/>
      <c r="V16" s="19"/>
      <c r="W16" s="19"/>
    </row>
    <row r="17" spans="2:24" x14ac:dyDescent="0.25">
      <c r="B17" t="s">
        <v>32</v>
      </c>
      <c r="F17" s="2">
        <f t="shared" ref="F17:K17" si="3">R17</f>
        <v>20.239000000000001</v>
      </c>
      <c r="G17" s="2">
        <f t="shared" si="3"/>
        <v>20.64378</v>
      </c>
      <c r="H17" s="2">
        <f t="shared" si="3"/>
        <v>21.056655599999999</v>
      </c>
      <c r="I17" s="2">
        <f t="shared" si="3"/>
        <v>21.477788711999999</v>
      </c>
      <c r="J17" s="2">
        <f t="shared" si="3"/>
        <v>21.90734448624</v>
      </c>
      <c r="K17" s="2">
        <f t="shared" si="3"/>
        <v>22.345491375964802</v>
      </c>
      <c r="N17" s="19" t="s">
        <v>31</v>
      </c>
      <c r="O17" s="19"/>
      <c r="P17" s="19"/>
      <c r="Q17" s="19"/>
      <c r="R17" s="16">
        <v>20.239000000000001</v>
      </c>
      <c r="S17" s="21">
        <f>R17*(1+$E$2)</f>
        <v>20.64378</v>
      </c>
      <c r="T17" s="21">
        <f>S17*(1+$E$2)</f>
        <v>21.056655599999999</v>
      </c>
      <c r="U17" s="21">
        <f>T17*(1+$E$2)</f>
        <v>21.477788711999999</v>
      </c>
      <c r="V17" s="21">
        <f>U17*(1+$E$2)</f>
        <v>21.90734448624</v>
      </c>
      <c r="W17" s="21">
        <f>V17*(1+$E$2)</f>
        <v>22.345491375964802</v>
      </c>
      <c r="X17" s="23" t="s">
        <v>43</v>
      </c>
    </row>
    <row r="18" spans="2:24" x14ac:dyDescent="0.25">
      <c r="B18" t="s">
        <v>38</v>
      </c>
      <c r="F18" s="2">
        <f>R18</f>
        <v>50</v>
      </c>
      <c r="G18" s="2">
        <f>'Plant in Service'!M55-'Plant in Service'!L55</f>
        <v>51.725000000000932</v>
      </c>
      <c r="H18" s="2">
        <f>'Plant in Service'!N55-'Plant in Service'!M55</f>
        <v>53.894281802133094</v>
      </c>
      <c r="I18" s="2">
        <f>'Plant in Service'!O55-'Plant in Service'!N55</f>
        <v>56.211604212951443</v>
      </c>
      <c r="J18" s="2">
        <f>'Plant in Service'!P55-'Plant in Service'!O55</f>
        <v>59.828060646947279</v>
      </c>
      <c r="K18" s="2">
        <f>'Plant in Service'!Q55-'Plant in Service'!P55</f>
        <v>63.097767530594524</v>
      </c>
      <c r="N18" s="19" t="s">
        <v>35</v>
      </c>
      <c r="O18" s="19"/>
      <c r="P18" s="19"/>
      <c r="Q18" s="19"/>
      <c r="R18" s="16">
        <v>50</v>
      </c>
      <c r="S18" s="21">
        <f>'Plant in Service'!M55-'Plant in Service'!L55</f>
        <v>51.725000000000932</v>
      </c>
      <c r="T18" s="21">
        <f>'Plant in Service'!N55-'Plant in Service'!M55</f>
        <v>53.894281802133094</v>
      </c>
      <c r="U18" s="21">
        <f>'Plant in Service'!O55-'Plant in Service'!N55</f>
        <v>56.211604212951443</v>
      </c>
      <c r="V18" s="21">
        <f>'Plant in Service'!P55-'Plant in Service'!O55</f>
        <v>59.828060646947279</v>
      </c>
      <c r="W18" s="21">
        <f>'Plant in Service'!Q55-'Plant in Service'!P55</f>
        <v>63.097767530594524</v>
      </c>
      <c r="X18" s="23" t="s">
        <v>45</v>
      </c>
    </row>
    <row r="19" spans="2:24" x14ac:dyDescent="0.25">
      <c r="B19" t="s">
        <v>36</v>
      </c>
      <c r="F19" s="2">
        <f>R19</f>
        <v>1</v>
      </c>
      <c r="G19" s="2">
        <f t="shared" ref="G19:K21" si="4">S19</f>
        <v>1</v>
      </c>
      <c r="H19" s="2">
        <f t="shared" si="4"/>
        <v>1</v>
      </c>
      <c r="I19" s="2">
        <f t="shared" si="4"/>
        <v>1</v>
      </c>
      <c r="J19" s="2">
        <f t="shared" si="4"/>
        <v>1</v>
      </c>
      <c r="K19" s="2">
        <f t="shared" si="4"/>
        <v>1</v>
      </c>
      <c r="N19" s="19" t="s">
        <v>36</v>
      </c>
      <c r="O19" s="19"/>
      <c r="P19" s="19"/>
      <c r="Q19" s="19"/>
      <c r="R19" s="16">
        <v>1</v>
      </c>
      <c r="S19" s="21">
        <f t="shared" ref="S19:W19" si="5">R19</f>
        <v>1</v>
      </c>
      <c r="T19" s="21">
        <f t="shared" si="5"/>
        <v>1</v>
      </c>
      <c r="U19" s="21">
        <f t="shared" si="5"/>
        <v>1</v>
      </c>
      <c r="V19" s="21">
        <f t="shared" si="5"/>
        <v>1</v>
      </c>
      <c r="W19" s="21">
        <f t="shared" si="5"/>
        <v>1</v>
      </c>
      <c r="X19" s="23" t="s">
        <v>46</v>
      </c>
    </row>
    <row r="20" spans="2:24" x14ac:dyDescent="0.25">
      <c r="B20" t="s">
        <v>33</v>
      </c>
      <c r="F20" s="2">
        <f>R20</f>
        <v>10</v>
      </c>
      <c r="G20" s="2">
        <f t="shared" si="4"/>
        <v>10.527054638674787</v>
      </c>
      <c r="H20" s="2">
        <f t="shared" si="4"/>
        <v>10.9446293003842</v>
      </c>
      <c r="I20" s="2">
        <f t="shared" si="4"/>
        <v>11.657429934535664</v>
      </c>
      <c r="J20" s="2">
        <f t="shared" si="4"/>
        <v>12.008297621365053</v>
      </c>
      <c r="K20" s="2">
        <f t="shared" si="4"/>
        <v>12.329340379402241</v>
      </c>
      <c r="N20" s="19" t="s">
        <v>37</v>
      </c>
      <c r="O20" s="19"/>
      <c r="P20" s="19"/>
      <c r="Q20" s="19"/>
      <c r="R20" s="16">
        <v>10</v>
      </c>
      <c r="S20" s="21">
        <f>($R$20*0.25)*(1+$E$2)^S12+($R$20*0.75)*G13/$F$13</f>
        <v>10.527054638674787</v>
      </c>
      <c r="T20" s="21">
        <f>($R$20*0.25)*(1+$E$2)^T12+($R$20*0.75)*H13/$F$13</f>
        <v>10.9446293003842</v>
      </c>
      <c r="U20" s="21">
        <f>($R$20*0.25)*(1+$E$2)^U12+($R$20*0.75)*I13/$F$13</f>
        <v>11.657429934535664</v>
      </c>
      <c r="V20" s="21">
        <f>($R$20*0.25)*(1+$E$2)^V12+($R$20*0.75)*J13/$F$13</f>
        <v>12.008297621365053</v>
      </c>
      <c r="W20" s="21">
        <f>($R$20*0.25)*(1+$E$2)^W12+($R$20*0.75)*K13/$F$13</f>
        <v>12.329340379402241</v>
      </c>
      <c r="X20" s="23" t="s">
        <v>47</v>
      </c>
    </row>
    <row r="21" spans="2:24" x14ac:dyDescent="0.25">
      <c r="B21" t="s">
        <v>34</v>
      </c>
      <c r="F21" s="2">
        <f>R21</f>
        <v>15</v>
      </c>
      <c r="G21" s="2">
        <f t="shared" si="4"/>
        <v>15.954109277349573</v>
      </c>
      <c r="H21" s="2">
        <f t="shared" si="4"/>
        <v>16.687258600768402</v>
      </c>
      <c r="I21" s="2">
        <f t="shared" si="4"/>
        <v>18.008819869071331</v>
      </c>
      <c r="J21" s="2">
        <f t="shared" si="4"/>
        <v>18.604434442730106</v>
      </c>
      <c r="K21" s="2">
        <f t="shared" si="4"/>
        <v>19.138276742804486</v>
      </c>
      <c r="N21" s="19" t="s">
        <v>39</v>
      </c>
      <c r="O21" s="19"/>
      <c r="P21" s="19"/>
      <c r="Q21" s="19"/>
      <c r="R21" s="16">
        <v>15</v>
      </c>
      <c r="S21" s="21">
        <f>R21*G13/F13</f>
        <v>15.954109277349573</v>
      </c>
      <c r="T21" s="21">
        <f>S21*H13/G13</f>
        <v>16.687258600768402</v>
      </c>
      <c r="U21" s="21">
        <f>T21*I13/H13</f>
        <v>18.008819869071331</v>
      </c>
      <c r="V21" s="21">
        <f>U21*J13/I13</f>
        <v>18.604434442730106</v>
      </c>
      <c r="W21" s="21">
        <f>V21*K13/J13</f>
        <v>19.138276742804486</v>
      </c>
      <c r="X21" s="23" t="s">
        <v>48</v>
      </c>
    </row>
    <row r="22" spans="2:24" x14ac:dyDescent="0.25">
      <c r="B22" s="1" t="s">
        <v>40</v>
      </c>
      <c r="C22" s="1"/>
      <c r="D22" s="1"/>
      <c r="E22" s="1"/>
      <c r="F22" s="3">
        <f t="shared" ref="F22:K22" si="6">SUM(F15:F21)</f>
        <v>204.73163120000225</v>
      </c>
      <c r="G22" s="3">
        <f t="shared" si="6"/>
        <v>215.24349684616007</v>
      </c>
      <c r="H22" s="3">
        <f t="shared" si="6"/>
        <v>224.2791315107678</v>
      </c>
      <c r="I22" s="3">
        <f t="shared" si="6"/>
        <v>238.61059288872036</v>
      </c>
      <c r="J22" s="3">
        <f t="shared" si="6"/>
        <v>247.91107350926487</v>
      </c>
      <c r="K22" s="3">
        <f t="shared" si="6"/>
        <v>256.33500939281055</v>
      </c>
      <c r="N22" s="19"/>
      <c r="O22" s="19"/>
      <c r="P22" s="19"/>
      <c r="Q22" s="19"/>
      <c r="R22" s="19"/>
      <c r="S22" s="19"/>
      <c r="T22" s="19"/>
      <c r="U22" s="19"/>
      <c r="V22" s="19"/>
      <c r="W22" s="19"/>
    </row>
    <row r="26" spans="2:24" x14ac:dyDescent="0.25">
      <c r="B26" s="1" t="s">
        <v>49</v>
      </c>
      <c r="N26" s="18" t="s">
        <v>67</v>
      </c>
      <c r="O26" s="19"/>
      <c r="P26" s="19"/>
      <c r="Q26" s="19"/>
      <c r="R26" s="19"/>
      <c r="S26" s="19"/>
      <c r="T26" s="19"/>
      <c r="U26" s="19"/>
      <c r="V26" s="19"/>
      <c r="W26" s="19"/>
    </row>
    <row r="27" spans="2:24" x14ac:dyDescent="0.25">
      <c r="B27" s="1"/>
      <c r="F27" s="9">
        <v>0</v>
      </c>
      <c r="G27" s="9">
        <v>1</v>
      </c>
      <c r="H27" s="9">
        <v>2</v>
      </c>
      <c r="I27" s="9">
        <v>3</v>
      </c>
      <c r="J27" s="9">
        <v>4</v>
      </c>
      <c r="K27" s="9">
        <v>5</v>
      </c>
      <c r="N27" s="19"/>
      <c r="O27" s="19"/>
      <c r="P27" s="19"/>
      <c r="Q27" s="19"/>
      <c r="R27" s="20">
        <v>0</v>
      </c>
      <c r="S27" s="20">
        <v>1</v>
      </c>
      <c r="T27" s="20">
        <v>2</v>
      </c>
      <c r="U27" s="20">
        <v>3</v>
      </c>
      <c r="V27" s="20">
        <v>4</v>
      </c>
      <c r="W27" s="20">
        <v>5</v>
      </c>
    </row>
    <row r="28" spans="2:24" x14ac:dyDescent="0.25">
      <c r="B28" s="5" t="s">
        <v>44</v>
      </c>
      <c r="C28" s="5"/>
      <c r="F28" s="30">
        <f t="shared" ref="F28:K29" si="7">R28</f>
        <v>1300</v>
      </c>
      <c r="G28" s="30">
        <f t="shared" si="7"/>
        <v>1399.2886508133565</v>
      </c>
      <c r="H28" s="30">
        <f t="shared" si="7"/>
        <v>1475.5616196101055</v>
      </c>
      <c r="I28" s="30">
        <f t="shared" si="7"/>
        <v>1568.4453522977751</v>
      </c>
      <c r="J28" s="30">
        <f t="shared" si="7"/>
        <v>1655.1117904509022</v>
      </c>
      <c r="K28" s="30">
        <f t="shared" si="7"/>
        <v>1706.1691854751684</v>
      </c>
      <c r="N28" s="19" t="s">
        <v>2</v>
      </c>
      <c r="O28" s="19"/>
      <c r="P28" s="19"/>
      <c r="Q28" s="19"/>
      <c r="R28" s="16">
        <v>1300</v>
      </c>
      <c r="S28" s="21">
        <f>(S13+R13)/2</f>
        <v>1399.2886508133565</v>
      </c>
      <c r="T28" s="21">
        <f t="shared" ref="T28:W28" si="8">(T13+S13)/2</f>
        <v>1475.5616196101055</v>
      </c>
      <c r="U28" s="21">
        <f t="shared" si="8"/>
        <v>1568.4453522977751</v>
      </c>
      <c r="V28" s="21">
        <f t="shared" si="8"/>
        <v>1655.1117904509022</v>
      </c>
      <c r="W28" s="21">
        <f t="shared" si="8"/>
        <v>1706.1691854751684</v>
      </c>
      <c r="X28" s="23" t="s">
        <v>69</v>
      </c>
    </row>
    <row r="29" spans="2:24" x14ac:dyDescent="0.25">
      <c r="B29" t="s">
        <v>64</v>
      </c>
      <c r="F29" s="31">
        <f t="shared" si="7"/>
        <v>0.08</v>
      </c>
      <c r="G29" s="31">
        <f t="shared" si="7"/>
        <v>0.08</v>
      </c>
      <c r="H29" s="31">
        <f t="shared" si="7"/>
        <v>0.08</v>
      </c>
      <c r="I29" s="31">
        <f t="shared" si="7"/>
        <v>0.08</v>
      </c>
      <c r="J29" s="31">
        <f t="shared" si="7"/>
        <v>0.08</v>
      </c>
      <c r="K29" s="31">
        <f t="shared" si="7"/>
        <v>0.08</v>
      </c>
      <c r="N29" s="19" t="s">
        <v>64</v>
      </c>
      <c r="O29" s="19"/>
      <c r="P29" s="19"/>
      <c r="Q29" s="19"/>
      <c r="R29" s="32">
        <f>$E$4</f>
        <v>0.08</v>
      </c>
      <c r="S29" s="32">
        <f t="shared" ref="S29:W29" si="9">$E$4</f>
        <v>0.08</v>
      </c>
      <c r="T29" s="32">
        <f t="shared" si="9"/>
        <v>0.08</v>
      </c>
      <c r="U29" s="32">
        <f t="shared" si="9"/>
        <v>0.08</v>
      </c>
      <c r="V29" s="32">
        <f t="shared" si="9"/>
        <v>0.08</v>
      </c>
      <c r="W29" s="32">
        <f t="shared" si="9"/>
        <v>0.08</v>
      </c>
    </row>
    <row r="30" spans="2:24" x14ac:dyDescent="0.25">
      <c r="B30" s="1" t="s">
        <v>50</v>
      </c>
      <c r="C30" s="1"/>
      <c r="D30" s="1"/>
      <c r="E30" s="1"/>
      <c r="F30" s="22">
        <f>F28*F29</f>
        <v>104</v>
      </c>
      <c r="G30" s="22">
        <f t="shared" ref="G30:K30" si="10">G28*G29</f>
        <v>111.94309206506853</v>
      </c>
      <c r="H30" s="22">
        <f t="shared" si="10"/>
        <v>118.04492956880844</v>
      </c>
      <c r="I30" s="22">
        <f t="shared" si="10"/>
        <v>125.47562818382201</v>
      </c>
      <c r="J30" s="22">
        <f t="shared" si="10"/>
        <v>132.40894323607216</v>
      </c>
      <c r="K30" s="22">
        <f t="shared" si="10"/>
        <v>136.49353483801349</v>
      </c>
      <c r="N30" s="19"/>
      <c r="O30" s="19"/>
      <c r="P30" s="19"/>
      <c r="Q30" s="19"/>
      <c r="R30" s="19"/>
      <c r="S30" s="19"/>
      <c r="T30" s="19"/>
      <c r="U30" s="19"/>
      <c r="V30" s="19"/>
      <c r="W30" s="19"/>
    </row>
    <row r="31" spans="2:24" x14ac:dyDescent="0.25">
      <c r="F31" s="17"/>
      <c r="G31" s="17"/>
      <c r="H31" s="17"/>
      <c r="I31" s="17"/>
      <c r="J31" s="17"/>
      <c r="K31" s="17"/>
      <c r="N31" s="19" t="s">
        <v>71</v>
      </c>
      <c r="O31" s="19"/>
      <c r="P31" s="19"/>
      <c r="Q31" s="19"/>
      <c r="R31" s="21"/>
      <c r="S31" s="21"/>
      <c r="T31" s="34" t="s">
        <v>70</v>
      </c>
      <c r="U31" s="21"/>
      <c r="V31" s="21"/>
      <c r="W31" s="21"/>
      <c r="X31" s="23" t="s">
        <v>73</v>
      </c>
    </row>
    <row r="32" spans="2:24" x14ac:dyDescent="0.25">
      <c r="B32" t="s">
        <v>32</v>
      </c>
      <c r="F32" s="2">
        <f>R32</f>
        <v>20.239000000000001</v>
      </c>
      <c r="G32" s="2">
        <f t="shared" ref="G32:K36" si="11">S32</f>
        <v>20.239000000000001</v>
      </c>
      <c r="H32" s="2">
        <f t="shared" si="11"/>
        <v>20.239000000000001</v>
      </c>
      <c r="I32" s="2">
        <f t="shared" si="11"/>
        <v>20.239000000000001</v>
      </c>
      <c r="J32" s="2">
        <f t="shared" si="11"/>
        <v>20.64378</v>
      </c>
      <c r="K32" s="2">
        <f t="shared" si="11"/>
        <v>20.64378</v>
      </c>
      <c r="N32" s="19" t="s">
        <v>31</v>
      </c>
      <c r="O32" s="19"/>
      <c r="P32" s="19"/>
      <c r="Q32" s="19"/>
      <c r="R32" s="16">
        <v>20.239000000000001</v>
      </c>
      <c r="S32" s="21">
        <f>R32</f>
        <v>20.239000000000001</v>
      </c>
      <c r="T32" s="21">
        <f t="shared" ref="T32:U32" si="12">S32</f>
        <v>20.239000000000001</v>
      </c>
      <c r="U32" s="21">
        <f t="shared" si="12"/>
        <v>20.239000000000001</v>
      </c>
      <c r="V32" s="33">
        <f>S17</f>
        <v>20.64378</v>
      </c>
      <c r="W32" s="21">
        <f>V32</f>
        <v>20.64378</v>
      </c>
      <c r="X32" s="23" t="s">
        <v>72</v>
      </c>
    </row>
    <row r="33" spans="2:24" x14ac:dyDescent="0.25">
      <c r="B33" t="s">
        <v>38</v>
      </c>
      <c r="F33" s="2">
        <f t="shared" ref="F33:F36" si="13">R33</f>
        <v>50</v>
      </c>
      <c r="G33" s="2">
        <f t="shared" si="11"/>
        <v>50.862500000000466</v>
      </c>
      <c r="H33" s="2">
        <f t="shared" si="11"/>
        <v>52.809640901067013</v>
      </c>
      <c r="I33" s="2">
        <f t="shared" si="11"/>
        <v>55.052943007542268</v>
      </c>
      <c r="J33" s="2">
        <f t="shared" si="11"/>
        <v>58.019832429949361</v>
      </c>
      <c r="K33" s="2">
        <f t="shared" si="11"/>
        <v>61.462914088770901</v>
      </c>
      <c r="N33" s="19" t="s">
        <v>35</v>
      </c>
      <c r="O33" s="19"/>
      <c r="P33" s="19"/>
      <c r="Q33" s="19"/>
      <c r="R33" s="16">
        <v>50</v>
      </c>
      <c r="S33" s="21">
        <f>(S18+R18)/2</f>
        <v>50.862500000000466</v>
      </c>
      <c r="T33" s="21">
        <f t="shared" ref="T33:W33" si="14">(T18+S18)/2</f>
        <v>52.809640901067013</v>
      </c>
      <c r="U33" s="21">
        <f t="shared" si="14"/>
        <v>55.052943007542268</v>
      </c>
      <c r="V33" s="21">
        <f t="shared" si="14"/>
        <v>58.019832429949361</v>
      </c>
      <c r="W33" s="21">
        <f t="shared" si="14"/>
        <v>61.462914088770901</v>
      </c>
      <c r="X33" s="23" t="s">
        <v>65</v>
      </c>
    </row>
    <row r="34" spans="2:24" x14ac:dyDescent="0.25">
      <c r="B34" t="s">
        <v>36</v>
      </c>
      <c r="F34" s="2">
        <f t="shared" si="13"/>
        <v>1</v>
      </c>
      <c r="G34" s="2">
        <f t="shared" si="11"/>
        <v>1</v>
      </c>
      <c r="H34" s="2">
        <f t="shared" si="11"/>
        <v>1</v>
      </c>
      <c r="I34" s="2">
        <f t="shared" si="11"/>
        <v>1</v>
      </c>
      <c r="J34" s="2">
        <f t="shared" si="11"/>
        <v>1</v>
      </c>
      <c r="K34" s="2">
        <f t="shared" si="11"/>
        <v>1</v>
      </c>
      <c r="N34" s="19" t="s">
        <v>36</v>
      </c>
      <c r="O34" s="19"/>
      <c r="P34" s="19"/>
      <c r="Q34" s="19"/>
      <c r="R34" s="16">
        <v>1</v>
      </c>
      <c r="S34" s="21">
        <f t="shared" ref="S34:W34" si="15">R34</f>
        <v>1</v>
      </c>
      <c r="T34" s="21">
        <f t="shared" si="15"/>
        <v>1</v>
      </c>
      <c r="U34" s="21">
        <f t="shared" si="15"/>
        <v>1</v>
      </c>
      <c r="V34" s="21">
        <f t="shared" si="15"/>
        <v>1</v>
      </c>
      <c r="W34" s="21">
        <f t="shared" si="15"/>
        <v>1</v>
      </c>
      <c r="X34" s="23" t="s">
        <v>46</v>
      </c>
    </row>
    <row r="35" spans="2:24" x14ac:dyDescent="0.25">
      <c r="B35" t="s">
        <v>33</v>
      </c>
      <c r="F35" s="2">
        <f t="shared" si="13"/>
        <v>10</v>
      </c>
      <c r="G35" s="2">
        <f t="shared" si="11"/>
        <v>10.63607285156638</v>
      </c>
      <c r="H35" s="2">
        <f t="shared" si="11"/>
        <v>11.124839067178932</v>
      </c>
      <c r="I35" s="2">
        <f t="shared" si="11"/>
        <v>12.005879912714217</v>
      </c>
      <c r="J35" s="2">
        <f t="shared" si="11"/>
        <v>12.402956295153402</v>
      </c>
      <c r="K35" s="2">
        <f t="shared" si="11"/>
        <v>12.758851161869654</v>
      </c>
      <c r="N35" s="19" t="s">
        <v>37</v>
      </c>
      <c r="O35" s="19"/>
      <c r="P35" s="19"/>
      <c r="Q35" s="19"/>
      <c r="R35" s="16">
        <v>10</v>
      </c>
      <c r="S35" s="21">
        <f t="shared" ref="S35:W36" si="16">R35*S$13/R$13</f>
        <v>10.63607285156638</v>
      </c>
      <c r="T35" s="21">
        <f t="shared" si="16"/>
        <v>11.124839067178932</v>
      </c>
      <c r="U35" s="21">
        <f t="shared" si="16"/>
        <v>12.005879912714217</v>
      </c>
      <c r="V35" s="21">
        <f t="shared" si="16"/>
        <v>12.402956295153402</v>
      </c>
      <c r="W35" s="21">
        <f t="shared" si="16"/>
        <v>12.758851161869654</v>
      </c>
      <c r="X35" s="23" t="s">
        <v>74</v>
      </c>
    </row>
    <row r="36" spans="2:24" x14ac:dyDescent="0.25">
      <c r="B36" t="s">
        <v>34</v>
      </c>
      <c r="F36" s="2">
        <f t="shared" si="13"/>
        <v>15</v>
      </c>
      <c r="G36" s="2">
        <f t="shared" si="11"/>
        <v>15.954109277349573</v>
      </c>
      <c r="H36" s="2">
        <f t="shared" si="11"/>
        <v>16.687258600768402</v>
      </c>
      <c r="I36" s="2">
        <f t="shared" si="11"/>
        <v>18.008819869071331</v>
      </c>
      <c r="J36" s="2">
        <f t="shared" si="11"/>
        <v>18.604434442730106</v>
      </c>
      <c r="K36" s="2">
        <f t="shared" si="11"/>
        <v>19.138276742804486</v>
      </c>
      <c r="N36" s="19" t="s">
        <v>39</v>
      </c>
      <c r="O36" s="19"/>
      <c r="P36" s="19"/>
      <c r="Q36" s="19"/>
      <c r="R36" s="16">
        <v>15</v>
      </c>
      <c r="S36" s="21">
        <f t="shared" si="16"/>
        <v>15.954109277349573</v>
      </c>
      <c r="T36" s="21">
        <f t="shared" si="16"/>
        <v>16.687258600768402</v>
      </c>
      <c r="U36" s="21">
        <f t="shared" si="16"/>
        <v>18.008819869071331</v>
      </c>
      <c r="V36" s="21">
        <f t="shared" si="16"/>
        <v>18.604434442730106</v>
      </c>
      <c r="W36" s="21">
        <f t="shared" si="16"/>
        <v>19.138276742804486</v>
      </c>
      <c r="X36" s="23" t="s">
        <v>74</v>
      </c>
    </row>
    <row r="37" spans="2:24" x14ac:dyDescent="0.25">
      <c r="B37" s="1" t="s">
        <v>68</v>
      </c>
      <c r="C37" s="1"/>
      <c r="D37" s="1"/>
      <c r="E37" s="1"/>
      <c r="F37" s="3">
        <f t="shared" ref="F37:K37" si="17">SUM(F30:F36)</f>
        <v>200.239</v>
      </c>
      <c r="G37" s="3">
        <f t="shared" si="17"/>
        <v>210.63477419398495</v>
      </c>
      <c r="H37" s="3">
        <f t="shared" si="17"/>
        <v>219.90566813782277</v>
      </c>
      <c r="I37" s="3">
        <f t="shared" si="17"/>
        <v>231.78227097314982</v>
      </c>
      <c r="J37" s="3">
        <f t="shared" si="17"/>
        <v>243.07994640390501</v>
      </c>
      <c r="K37" s="3">
        <f t="shared" si="17"/>
        <v>251.49735683145852</v>
      </c>
      <c r="N37" s="19"/>
      <c r="O37" s="19"/>
      <c r="P37" s="19"/>
      <c r="Q37" s="19"/>
      <c r="R37" s="19"/>
      <c r="S37" s="19"/>
      <c r="T37" s="19"/>
      <c r="U37" s="19"/>
      <c r="V37" s="19"/>
      <c r="W37" s="19"/>
    </row>
    <row r="39" spans="2:24" x14ac:dyDescent="0.25">
      <c r="F39" s="35"/>
    </row>
    <row r="40" spans="2:24" x14ac:dyDescent="0.25">
      <c r="F40" s="35"/>
    </row>
    <row r="41" spans="2:24" x14ac:dyDescent="0.25">
      <c r="B41" s="1" t="s">
        <v>75</v>
      </c>
      <c r="N41" s="18" t="s">
        <v>67</v>
      </c>
      <c r="O41" s="19"/>
      <c r="P41" s="19"/>
      <c r="Q41" s="19"/>
      <c r="R41" s="19"/>
      <c r="S41" s="19"/>
      <c r="T41" s="19"/>
      <c r="U41" s="19"/>
      <c r="V41" s="19"/>
      <c r="W41" s="19"/>
    </row>
    <row r="42" spans="2:24" x14ac:dyDescent="0.25">
      <c r="B42" s="1"/>
      <c r="F42" s="9">
        <v>0</v>
      </c>
      <c r="G42" s="9">
        <v>1</v>
      </c>
      <c r="H42" s="9">
        <v>2</v>
      </c>
      <c r="I42" s="9">
        <v>3</v>
      </c>
      <c r="J42" s="9">
        <v>4</v>
      </c>
      <c r="K42" s="9">
        <v>5</v>
      </c>
      <c r="N42" s="19"/>
      <c r="O42" s="19"/>
      <c r="P42" s="19"/>
      <c r="Q42" s="19"/>
      <c r="R42" s="20">
        <v>0</v>
      </c>
      <c r="S42" s="20">
        <v>1</v>
      </c>
      <c r="T42" s="20">
        <v>2</v>
      </c>
      <c r="U42" s="20">
        <v>3</v>
      </c>
      <c r="V42" s="20">
        <v>4</v>
      </c>
      <c r="W42" s="20">
        <v>5</v>
      </c>
    </row>
    <row r="43" spans="2:24" x14ac:dyDescent="0.25">
      <c r="B43" t="s">
        <v>76</v>
      </c>
      <c r="F43" s="2">
        <f>R43</f>
        <v>168.17599999999999</v>
      </c>
      <c r="G43" s="2">
        <f t="shared" ref="G43:K43" si="18">S43</f>
        <v>171.03499199999996</v>
      </c>
      <c r="H43" s="2">
        <f t="shared" si="18"/>
        <v>173.94258686399994</v>
      </c>
      <c r="I43" s="2">
        <f t="shared" si="18"/>
        <v>176.89961084068793</v>
      </c>
      <c r="J43" s="2">
        <f t="shared" si="18"/>
        <v>179.9069042249796</v>
      </c>
      <c r="K43" s="2">
        <f t="shared" si="18"/>
        <v>182.96532159680424</v>
      </c>
      <c r="N43" s="19" t="s">
        <v>76</v>
      </c>
      <c r="O43" s="19"/>
      <c r="P43" s="19"/>
      <c r="Q43" s="19"/>
      <c r="R43" s="16">
        <v>168.17599999999999</v>
      </c>
      <c r="S43" s="21">
        <f t="shared" ref="S43:W43" si="19">R43*(1+$E$3)</f>
        <v>171.03499199999996</v>
      </c>
      <c r="T43" s="21">
        <f t="shared" si="19"/>
        <v>173.94258686399994</v>
      </c>
      <c r="U43" s="21">
        <f t="shared" si="19"/>
        <v>176.89961084068793</v>
      </c>
      <c r="V43" s="21">
        <f t="shared" si="19"/>
        <v>179.9069042249796</v>
      </c>
      <c r="W43" s="21">
        <f t="shared" si="19"/>
        <v>182.96532159680424</v>
      </c>
    </row>
    <row r="44" spans="2:24" x14ac:dyDescent="0.25">
      <c r="B44" t="s">
        <v>32</v>
      </c>
      <c r="F44" s="2">
        <f t="shared" ref="F44:F48" si="20">R44</f>
        <v>20.239000000000001</v>
      </c>
      <c r="G44" s="2">
        <f t="shared" ref="G44:G48" si="21">S44</f>
        <v>20.64378</v>
      </c>
      <c r="H44" s="2">
        <f t="shared" ref="H44:H48" si="22">T44</f>
        <v>21.056655599999999</v>
      </c>
      <c r="I44" s="2">
        <f t="shared" ref="I44:I48" si="23">U44</f>
        <v>21.477788711999999</v>
      </c>
      <c r="J44" s="2">
        <f t="shared" ref="J44:J48" si="24">V44</f>
        <v>21.90734448624</v>
      </c>
      <c r="K44" s="2">
        <f t="shared" ref="K44:K48" si="25">W44</f>
        <v>22.345491375964802</v>
      </c>
      <c r="N44" s="19" t="s">
        <v>31</v>
      </c>
      <c r="O44" s="19"/>
      <c r="P44" s="19"/>
      <c r="Q44" s="19"/>
      <c r="R44" s="21">
        <f>R17</f>
        <v>20.239000000000001</v>
      </c>
      <c r="S44" s="21">
        <f t="shared" ref="S44:W44" si="26">S17</f>
        <v>20.64378</v>
      </c>
      <c r="T44" s="21">
        <f t="shared" si="26"/>
        <v>21.056655599999999</v>
      </c>
      <c r="U44" s="21">
        <f t="shared" si="26"/>
        <v>21.477788711999999</v>
      </c>
      <c r="V44" s="21">
        <f t="shared" si="26"/>
        <v>21.90734448624</v>
      </c>
      <c r="W44" s="21">
        <f t="shared" si="26"/>
        <v>22.345491375964802</v>
      </c>
    </row>
    <row r="45" spans="2:24" x14ac:dyDescent="0.25">
      <c r="B45" t="s">
        <v>38</v>
      </c>
      <c r="F45" s="2">
        <f t="shared" si="20"/>
        <v>50</v>
      </c>
      <c r="G45" s="2">
        <f t="shared" si="21"/>
        <v>51.725000000000932</v>
      </c>
      <c r="H45" s="2">
        <f t="shared" si="22"/>
        <v>53.894281802133094</v>
      </c>
      <c r="I45" s="2">
        <f t="shared" si="23"/>
        <v>56.211604212951443</v>
      </c>
      <c r="J45" s="2">
        <f t="shared" si="24"/>
        <v>59.828060646947279</v>
      </c>
      <c r="K45" s="2">
        <f t="shared" si="25"/>
        <v>63.097767530594524</v>
      </c>
      <c r="N45" s="19" t="s">
        <v>35</v>
      </c>
      <c r="O45" s="19"/>
      <c r="P45" s="19"/>
      <c r="Q45" s="19"/>
      <c r="R45" s="21">
        <f t="shared" ref="R45:W48" si="27">R18</f>
        <v>50</v>
      </c>
      <c r="S45" s="21">
        <f t="shared" si="27"/>
        <v>51.725000000000932</v>
      </c>
      <c r="T45" s="21">
        <f t="shared" si="27"/>
        <v>53.894281802133094</v>
      </c>
      <c r="U45" s="21">
        <f t="shared" si="27"/>
        <v>56.211604212951443</v>
      </c>
      <c r="V45" s="21">
        <f t="shared" si="27"/>
        <v>59.828060646947279</v>
      </c>
      <c r="W45" s="21">
        <f t="shared" si="27"/>
        <v>63.097767530594524</v>
      </c>
    </row>
    <row r="46" spans="2:24" x14ac:dyDescent="0.25">
      <c r="B46" t="s">
        <v>36</v>
      </c>
      <c r="F46" s="2">
        <f t="shared" si="20"/>
        <v>1</v>
      </c>
      <c r="G46" s="2">
        <f t="shared" si="21"/>
        <v>1</v>
      </c>
      <c r="H46" s="2">
        <f t="shared" si="22"/>
        <v>1</v>
      </c>
      <c r="I46" s="2">
        <f t="shared" si="23"/>
        <v>1</v>
      </c>
      <c r="J46" s="2">
        <f t="shared" si="24"/>
        <v>1</v>
      </c>
      <c r="K46" s="2">
        <f t="shared" si="25"/>
        <v>1</v>
      </c>
      <c r="N46" s="19" t="s">
        <v>36</v>
      </c>
      <c r="O46" s="19"/>
      <c r="P46" s="19"/>
      <c r="Q46" s="19"/>
      <c r="R46" s="21">
        <f t="shared" si="27"/>
        <v>1</v>
      </c>
      <c r="S46" s="21">
        <f t="shared" si="27"/>
        <v>1</v>
      </c>
      <c r="T46" s="21">
        <f t="shared" si="27"/>
        <v>1</v>
      </c>
      <c r="U46" s="21">
        <f t="shared" si="27"/>
        <v>1</v>
      </c>
      <c r="V46" s="21">
        <f t="shared" si="27"/>
        <v>1</v>
      </c>
      <c r="W46" s="21">
        <f t="shared" si="27"/>
        <v>1</v>
      </c>
    </row>
    <row r="47" spans="2:24" x14ac:dyDescent="0.25">
      <c r="B47" t="s">
        <v>33</v>
      </c>
      <c r="F47" s="2">
        <f t="shared" si="20"/>
        <v>10</v>
      </c>
      <c r="G47" s="2">
        <f t="shared" si="21"/>
        <v>10.527054638674787</v>
      </c>
      <c r="H47" s="2">
        <f t="shared" si="22"/>
        <v>10.9446293003842</v>
      </c>
      <c r="I47" s="2">
        <f t="shared" si="23"/>
        <v>11.657429934535664</v>
      </c>
      <c r="J47" s="2">
        <f t="shared" si="24"/>
        <v>12.008297621365053</v>
      </c>
      <c r="K47" s="2">
        <f t="shared" si="25"/>
        <v>12.329340379402241</v>
      </c>
      <c r="N47" s="19" t="s">
        <v>37</v>
      </c>
      <c r="O47" s="19"/>
      <c r="P47" s="19"/>
      <c r="Q47" s="19"/>
      <c r="R47" s="21">
        <f t="shared" si="27"/>
        <v>10</v>
      </c>
      <c r="S47" s="21">
        <f t="shared" si="27"/>
        <v>10.527054638674787</v>
      </c>
      <c r="T47" s="21">
        <f t="shared" si="27"/>
        <v>10.9446293003842</v>
      </c>
      <c r="U47" s="21">
        <f t="shared" si="27"/>
        <v>11.657429934535664</v>
      </c>
      <c r="V47" s="21">
        <f t="shared" si="27"/>
        <v>12.008297621365053</v>
      </c>
      <c r="W47" s="21">
        <f t="shared" si="27"/>
        <v>12.329340379402241</v>
      </c>
    </row>
    <row r="48" spans="2:24" x14ac:dyDescent="0.25">
      <c r="B48" t="s">
        <v>34</v>
      </c>
      <c r="F48" s="2">
        <f t="shared" si="20"/>
        <v>15</v>
      </c>
      <c r="G48" s="2">
        <f t="shared" si="21"/>
        <v>15.954109277349573</v>
      </c>
      <c r="H48" s="2">
        <f t="shared" si="22"/>
        <v>16.687258600768402</v>
      </c>
      <c r="I48" s="2">
        <f t="shared" si="23"/>
        <v>18.008819869071331</v>
      </c>
      <c r="J48" s="2">
        <f t="shared" si="24"/>
        <v>18.604434442730106</v>
      </c>
      <c r="K48" s="2">
        <f t="shared" si="25"/>
        <v>19.138276742804486</v>
      </c>
      <c r="N48" s="19" t="s">
        <v>39</v>
      </c>
      <c r="O48" s="19"/>
      <c r="P48" s="19"/>
      <c r="Q48" s="19"/>
      <c r="R48" s="21">
        <f t="shared" si="27"/>
        <v>15</v>
      </c>
      <c r="S48" s="21">
        <f t="shared" si="27"/>
        <v>15.954109277349573</v>
      </c>
      <c r="T48" s="21">
        <f t="shared" si="27"/>
        <v>16.687258600768402</v>
      </c>
      <c r="U48" s="21">
        <f t="shared" si="27"/>
        <v>18.008819869071331</v>
      </c>
      <c r="V48" s="21">
        <f t="shared" si="27"/>
        <v>18.604434442730106</v>
      </c>
      <c r="W48" s="21">
        <f t="shared" si="27"/>
        <v>19.138276742804486</v>
      </c>
    </row>
    <row r="49" spans="2:23" x14ac:dyDescent="0.25">
      <c r="B49" s="1" t="s">
        <v>77</v>
      </c>
      <c r="C49" s="1"/>
      <c r="D49" s="1"/>
      <c r="E49" s="1"/>
      <c r="F49" s="3">
        <f>F43-SUM(F44:F48)</f>
        <v>71.936999999999983</v>
      </c>
      <c r="G49" s="3">
        <f t="shared" ref="G49:K49" si="28">G43-SUM(G44:G48)</f>
        <v>71.185048083974678</v>
      </c>
      <c r="H49" s="3">
        <f t="shared" si="28"/>
        <v>70.359761560714233</v>
      </c>
      <c r="I49" s="3">
        <f t="shared" si="28"/>
        <v>68.543968112129491</v>
      </c>
      <c r="J49" s="3">
        <f t="shared" si="28"/>
        <v>66.558767027697172</v>
      </c>
      <c r="K49" s="3">
        <f t="shared" si="28"/>
        <v>65.054445568038204</v>
      </c>
      <c r="N49" s="19"/>
      <c r="O49" s="19"/>
      <c r="P49" s="19"/>
      <c r="Q49" s="19"/>
      <c r="R49" s="19"/>
      <c r="S49" s="19"/>
      <c r="T49" s="19"/>
      <c r="U49" s="19"/>
      <c r="V49" s="19"/>
      <c r="W49" s="19"/>
    </row>
    <row r="50" spans="2:23" x14ac:dyDescent="0.25">
      <c r="N50" s="19"/>
      <c r="O50" s="19"/>
      <c r="P50" s="19"/>
      <c r="Q50" s="19"/>
      <c r="R50" s="19"/>
      <c r="S50" s="19"/>
      <c r="T50" s="19"/>
      <c r="U50" s="19"/>
      <c r="V50" s="19"/>
      <c r="W50" s="19"/>
    </row>
    <row r="51" spans="2:23" x14ac:dyDescent="0.25">
      <c r="B51" t="s">
        <v>79</v>
      </c>
      <c r="F51" s="36">
        <f>F49/F13</f>
        <v>5.3044708533162378E-2</v>
      </c>
      <c r="G51" s="36">
        <f t="shared" ref="G51:K51" si="29">G49/G13</f>
        <v>4.9351143994724761E-2</v>
      </c>
      <c r="H51" s="36">
        <f t="shared" si="29"/>
        <v>4.6635900482165732E-2</v>
      </c>
      <c r="I51" s="36">
        <f t="shared" si="29"/>
        <v>4.2098342076272791E-2</v>
      </c>
      <c r="J51" s="36">
        <f t="shared" si="29"/>
        <v>3.957034164199956E-2</v>
      </c>
      <c r="K51" s="36">
        <f t="shared" si="29"/>
        <v>3.7597169792322367E-2</v>
      </c>
      <c r="N51" s="19" t="s">
        <v>82</v>
      </c>
      <c r="O51" s="19"/>
      <c r="P51" s="19"/>
      <c r="Q51" s="19"/>
      <c r="R51" s="27">
        <v>0.51029999999999998</v>
      </c>
      <c r="S51" s="27">
        <v>0.45</v>
      </c>
      <c r="T51" s="27">
        <v>0.45</v>
      </c>
      <c r="U51" s="27">
        <v>0.45</v>
      </c>
      <c r="V51" s="27">
        <v>0.45</v>
      </c>
      <c r="W51" s="27">
        <v>0.45</v>
      </c>
    </row>
    <row r="52" spans="2:23" x14ac:dyDescent="0.25">
      <c r="B52" t="s">
        <v>80</v>
      </c>
      <c r="F52" s="36">
        <f>(F51-(1-R51)*R52)/R51</f>
        <v>6.3739522894694062E-2</v>
      </c>
      <c r="G52" s="36">
        <f t="shared" ref="G52:K52" si="30">(G51-(1-S51)*S52)/S51</f>
        <v>5.8458097766055019E-2</v>
      </c>
      <c r="H52" s="36">
        <f t="shared" si="30"/>
        <v>5.2424223293701618E-2</v>
      </c>
      <c r="I52" s="36">
        <f t="shared" si="30"/>
        <v>4.2340760169495083E-2</v>
      </c>
      <c r="J52" s="36">
        <f t="shared" si="30"/>
        <v>3.6722981426665684E-2</v>
      </c>
      <c r="K52" s="36">
        <f t="shared" si="30"/>
        <v>3.2338155094049699E-2</v>
      </c>
      <c r="N52" s="19" t="s">
        <v>81</v>
      </c>
      <c r="O52" s="19"/>
      <c r="P52" s="19"/>
      <c r="Q52" s="19"/>
      <c r="R52" s="27">
        <v>4.19E-2</v>
      </c>
      <c r="S52" s="27">
        <v>4.19E-2</v>
      </c>
      <c r="T52" s="27">
        <v>4.19E-2</v>
      </c>
      <c r="U52" s="27">
        <v>4.19E-2</v>
      </c>
      <c r="V52" s="27">
        <v>4.19E-2</v>
      </c>
      <c r="W52" s="27">
        <v>4.19E-2</v>
      </c>
    </row>
    <row r="53" spans="2:23" x14ac:dyDescent="0.25">
      <c r="N53" s="19"/>
      <c r="O53" s="19"/>
      <c r="P53" s="19"/>
      <c r="Q53" s="19"/>
      <c r="R53" s="19"/>
      <c r="S53" s="19"/>
      <c r="T53" s="19"/>
      <c r="U53" s="19"/>
      <c r="V53" s="19"/>
      <c r="W53" s="19"/>
    </row>
    <row r="54" spans="2:23" x14ac:dyDescent="0.25">
      <c r="B54" s="37" t="s">
        <v>32</v>
      </c>
      <c r="C54" s="37"/>
      <c r="D54" s="37"/>
      <c r="E54" s="37"/>
      <c r="F54" s="38">
        <f>F44/F$43</f>
        <v>0.12034416325753973</v>
      </c>
      <c r="G54" s="38">
        <f t="shared" ref="G54:K54" si="31">G44/G$43</f>
        <v>0.1206991607892729</v>
      </c>
      <c r="H54" s="38">
        <f t="shared" si="31"/>
        <v>0.12105520551136517</v>
      </c>
      <c r="I54" s="38">
        <f t="shared" si="31"/>
        <v>0.12141230051287362</v>
      </c>
      <c r="J54" s="38">
        <f t="shared" si="31"/>
        <v>0.12177044889196767</v>
      </c>
      <c r="K54" s="38">
        <f t="shared" si="31"/>
        <v>0.12212965375595579</v>
      </c>
    </row>
    <row r="55" spans="2:23" x14ac:dyDescent="0.25">
      <c r="B55" s="37" t="s">
        <v>38</v>
      </c>
      <c r="C55" s="37"/>
      <c r="D55" s="37"/>
      <c r="E55" s="37"/>
      <c r="F55" s="38">
        <f t="shared" ref="F55:K55" si="32">F45/F$43</f>
        <v>0.29730758253258494</v>
      </c>
      <c r="G55" s="38">
        <f t="shared" si="32"/>
        <v>0.30242349471972929</v>
      </c>
      <c r="H55" s="38">
        <f t="shared" si="32"/>
        <v>0.30983948654432331</v>
      </c>
      <c r="I55" s="38">
        <f t="shared" si="32"/>
        <v>0.31775990883085908</v>
      </c>
      <c r="J55" s="38">
        <f t="shared" si="32"/>
        <v>0.33255010920609412</v>
      </c>
      <c r="K55" s="38">
        <f t="shared" si="32"/>
        <v>0.34486189502971154</v>
      </c>
    </row>
    <row r="56" spans="2:23" x14ac:dyDescent="0.25">
      <c r="B56" s="37" t="s">
        <v>36</v>
      </c>
      <c r="C56" s="37"/>
      <c r="D56" s="37"/>
      <c r="E56" s="37"/>
      <c r="F56" s="38">
        <f t="shared" ref="F56:K56" si="33">F46/F$43</f>
        <v>5.9461516506516985E-3</v>
      </c>
      <c r="G56" s="38">
        <f t="shared" si="33"/>
        <v>5.8467567853015727E-3</v>
      </c>
      <c r="H56" s="38">
        <f t="shared" si="33"/>
        <v>5.7490233877104955E-3</v>
      </c>
      <c r="I56" s="38">
        <f t="shared" si="33"/>
        <v>5.6529236850644008E-3</v>
      </c>
      <c r="J56" s="38">
        <f t="shared" si="33"/>
        <v>5.5584303687948883E-3</v>
      </c>
      <c r="K56" s="38">
        <f t="shared" si="33"/>
        <v>5.4655165868189659E-3</v>
      </c>
    </row>
    <row r="57" spans="2:23" x14ac:dyDescent="0.25">
      <c r="B57" s="37" t="s">
        <v>33</v>
      </c>
      <c r="C57" s="37"/>
      <c r="D57" s="37"/>
      <c r="E57" s="37"/>
      <c r="F57" s="38">
        <f t="shared" ref="F57:K58" si="34">F47/F$43</f>
        <v>5.9461516506516987E-2</v>
      </c>
      <c r="G57" s="38">
        <f t="shared" si="34"/>
        <v>6.1549128137912211E-2</v>
      </c>
      <c r="H57" s="38">
        <f t="shared" si="34"/>
        <v>6.2920929817730328E-2</v>
      </c>
      <c r="I57" s="38">
        <f t="shared" si="34"/>
        <v>6.5898561783915399E-2</v>
      </c>
      <c r="J57" s="38">
        <f t="shared" si="34"/>
        <v>6.6747286176122925E-2</v>
      </c>
      <c r="K57" s="38">
        <f t="shared" si="34"/>
        <v>6.7386214348159792E-2</v>
      </c>
    </row>
    <row r="58" spans="2:23" x14ac:dyDescent="0.25">
      <c r="B58" s="37" t="s">
        <v>34</v>
      </c>
      <c r="C58" s="37"/>
      <c r="D58" s="37"/>
      <c r="E58" s="37"/>
      <c r="F58" s="38">
        <f t="shared" si="34"/>
        <v>8.9192274759775481E-2</v>
      </c>
      <c r="G58" s="38">
        <f t="shared" si="34"/>
        <v>9.3279796670786397E-2</v>
      </c>
      <c r="H58" s="38">
        <f t="shared" si="34"/>
        <v>9.5935439972590658E-2</v>
      </c>
      <c r="I58" s="38">
        <f t="shared" si="34"/>
        <v>0.10180248437793171</v>
      </c>
      <c r="J58" s="38">
        <f t="shared" si="34"/>
        <v>0.10341145340072462</v>
      </c>
      <c r="K58" s="38">
        <f t="shared" si="34"/>
        <v>0.10460056898092958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O58"/>
  <sheetViews>
    <sheetView showGridLines="0" workbookViewId="0">
      <selection activeCell="H9" sqref="H9"/>
    </sheetView>
  </sheetViews>
  <sheetFormatPr defaultRowHeight="15" x14ac:dyDescent="0.25"/>
  <sheetData>
    <row r="2" spans="2:41" x14ac:dyDescent="0.25">
      <c r="B2" t="s">
        <v>6</v>
      </c>
      <c r="D2" s="8">
        <v>40</v>
      </c>
    </row>
    <row r="3" spans="2:41" x14ac:dyDescent="0.25">
      <c r="B3" t="s">
        <v>7</v>
      </c>
      <c r="D3" s="8">
        <v>15</v>
      </c>
      <c r="F3" s="12"/>
      <c r="G3" s="13"/>
    </row>
    <row r="4" spans="2:41" x14ac:dyDescent="0.25">
      <c r="B4" t="s">
        <v>28</v>
      </c>
      <c r="D4" s="15">
        <v>0.5</v>
      </c>
    </row>
    <row r="5" spans="2:41" x14ac:dyDescent="0.25">
      <c r="B5" t="s">
        <v>8</v>
      </c>
      <c r="D5" s="24">
        <v>0.35</v>
      </c>
    </row>
    <row r="8" spans="2:41" x14ac:dyDescent="0.25">
      <c r="B8" s="1" t="s">
        <v>19</v>
      </c>
      <c r="D8" s="8">
        <v>150</v>
      </c>
      <c r="E8" s="8">
        <v>160</v>
      </c>
      <c r="F8" s="8">
        <v>180</v>
      </c>
      <c r="G8" s="8">
        <v>150</v>
      </c>
      <c r="H8" s="8">
        <v>145</v>
      </c>
    </row>
    <row r="10" spans="2:41" x14ac:dyDescent="0.25">
      <c r="AB10" s="14" t="s">
        <v>25</v>
      </c>
      <c r="AD10" s="14" t="s">
        <v>26</v>
      </c>
    </row>
    <row r="11" spans="2:41" x14ac:dyDescent="0.25">
      <c r="B11" s="1" t="s">
        <v>11</v>
      </c>
      <c r="K11" s="1" t="s">
        <v>13</v>
      </c>
      <c r="T11" s="1" t="s">
        <v>14</v>
      </c>
      <c r="U11" s="1"/>
      <c r="V11" s="1"/>
      <c r="W11" s="1"/>
      <c r="X11" s="1"/>
      <c r="Y11" s="1"/>
      <c r="Z11" s="1"/>
      <c r="AB11" s="14" t="s">
        <v>23</v>
      </c>
      <c r="AD11" s="14" t="s">
        <v>23</v>
      </c>
      <c r="AF11" s="14" t="s">
        <v>24</v>
      </c>
      <c r="AI11" s="1" t="s">
        <v>15</v>
      </c>
    </row>
    <row r="12" spans="2:41" x14ac:dyDescent="0.25">
      <c r="B12" s="1" t="s">
        <v>10</v>
      </c>
      <c r="C12" s="9">
        <v>0</v>
      </c>
      <c r="D12" s="9">
        <v>1</v>
      </c>
      <c r="E12" s="9">
        <v>2</v>
      </c>
      <c r="F12" s="9">
        <v>3</v>
      </c>
      <c r="G12" s="9">
        <v>4</v>
      </c>
      <c r="H12" s="9">
        <v>5</v>
      </c>
      <c r="K12" s="1" t="s">
        <v>10</v>
      </c>
      <c r="L12" s="9">
        <v>0</v>
      </c>
      <c r="M12" s="9">
        <v>1</v>
      </c>
      <c r="N12" s="9">
        <v>2</v>
      </c>
      <c r="O12" s="9">
        <v>3</v>
      </c>
      <c r="P12" s="9">
        <v>4</v>
      </c>
      <c r="Q12" s="9">
        <v>5</v>
      </c>
      <c r="T12" s="1" t="s">
        <v>10</v>
      </c>
      <c r="U12" s="9">
        <v>0</v>
      </c>
      <c r="V12" s="9">
        <v>1</v>
      </c>
      <c r="W12" s="9">
        <v>2</v>
      </c>
      <c r="X12" s="9">
        <v>3</v>
      </c>
      <c r="Y12" s="9">
        <v>4</v>
      </c>
      <c r="Z12" s="9">
        <v>5</v>
      </c>
      <c r="AB12" s="14" t="s">
        <v>27</v>
      </c>
      <c r="AD12" s="14" t="s">
        <v>27</v>
      </c>
      <c r="AF12" s="14" t="s">
        <v>23</v>
      </c>
      <c r="AI12" s="1"/>
      <c r="AJ12" s="9">
        <v>0</v>
      </c>
      <c r="AK12" s="9">
        <v>1</v>
      </c>
      <c r="AL12" s="9">
        <v>2</v>
      </c>
      <c r="AM12" s="9">
        <v>3</v>
      </c>
      <c r="AN12" s="9">
        <v>4</v>
      </c>
      <c r="AO12" s="9">
        <v>5</v>
      </c>
    </row>
    <row r="13" spans="2:41" x14ac:dyDescent="0.25">
      <c r="B13" s="6">
        <v>1</v>
      </c>
      <c r="C13" s="8">
        <v>458.04571695322636</v>
      </c>
      <c r="D13" s="2">
        <f>D8</f>
        <v>150</v>
      </c>
      <c r="E13" s="2">
        <f>E8</f>
        <v>160</v>
      </c>
      <c r="F13" s="2">
        <f>F8</f>
        <v>180</v>
      </c>
      <c r="G13" s="2">
        <f>G8</f>
        <v>150</v>
      </c>
      <c r="H13" s="2">
        <f>H8</f>
        <v>145</v>
      </c>
      <c r="K13" s="6">
        <v>1</v>
      </c>
      <c r="L13" s="2">
        <f t="shared" ref="L13:L54" si="0">C13*$AB13</f>
        <v>5.7255714619153295</v>
      </c>
      <c r="M13" s="2">
        <f t="shared" ref="M13:M54" si="1">D13*$AB13</f>
        <v>1.875</v>
      </c>
      <c r="N13" s="2">
        <f t="shared" ref="N13:N54" si="2">E13*$AB13</f>
        <v>2</v>
      </c>
      <c r="O13" s="2">
        <f t="shared" ref="O13:O54" si="3">F13*$AB13</f>
        <v>2.25</v>
      </c>
      <c r="P13" s="2">
        <f t="shared" ref="P13:P54" si="4">G13*$AB13</f>
        <v>1.875</v>
      </c>
      <c r="Q13" s="2">
        <f t="shared" ref="Q13:Q54" si="5">H13*$AB13</f>
        <v>1.8125</v>
      </c>
      <c r="T13" s="6">
        <v>1</v>
      </c>
      <c r="U13" s="2">
        <f t="shared" ref="U13:U54" si="6">$AD13*C13</f>
        <v>244.29104904172073</v>
      </c>
      <c r="V13" s="2">
        <f t="shared" ref="V13:V54" si="7">$AD13*D13</f>
        <v>80</v>
      </c>
      <c r="W13" s="2">
        <f t="shared" ref="W13:W54" si="8">$AD13*E13</f>
        <v>85.333333333333329</v>
      </c>
      <c r="X13" s="2">
        <f t="shared" ref="X13:X54" si="9">$AD13*F13</f>
        <v>96</v>
      </c>
      <c r="Y13" s="2">
        <f t="shared" ref="Y13:Y54" si="10">$AD13*G13</f>
        <v>80</v>
      </c>
      <c r="Z13" s="2">
        <f t="shared" ref="Z13:Z54" si="11">$AD13*H13</f>
        <v>77.333333333333329</v>
      </c>
      <c r="AB13" s="12">
        <f t="shared" ref="AB13:AB54" si="12">MIN(1,($K13-(1-$D$4))/$D$2)</f>
        <v>1.2500000000000001E-2</v>
      </c>
      <c r="AD13" s="13">
        <f>IFERROR(macrs($D$3,$D$4,$AF13,$T13,TRUE),1)</f>
        <v>0.53333333333333333</v>
      </c>
      <c r="AF13" s="7">
        <v>0.5</v>
      </c>
      <c r="AI13" s="5" t="s">
        <v>17</v>
      </c>
      <c r="AJ13" s="2">
        <f t="shared" ref="AJ13:AO13" si="13">L55</f>
        <v>400.00000000001472</v>
      </c>
      <c r="AK13" s="2">
        <f t="shared" si="13"/>
        <v>451.72500000001565</v>
      </c>
      <c r="AL13" s="2">
        <f t="shared" si="13"/>
        <v>505.61928180214875</v>
      </c>
      <c r="AM13" s="2">
        <f t="shared" si="13"/>
        <v>561.83088601510019</v>
      </c>
      <c r="AN13" s="2">
        <f t="shared" si="13"/>
        <v>621.65894666204747</v>
      </c>
      <c r="AO13" s="2">
        <f t="shared" si="13"/>
        <v>684.75671419264199</v>
      </c>
    </row>
    <row r="14" spans="2:41" x14ac:dyDescent="0.25">
      <c r="B14" s="6">
        <v>2</v>
      </c>
      <c r="C14" s="8">
        <v>93.54369099473476</v>
      </c>
      <c r="D14" s="2">
        <f>C13</f>
        <v>458.04571695322636</v>
      </c>
      <c r="E14" s="2">
        <f t="shared" ref="E14:H29" si="14">D13</f>
        <v>150</v>
      </c>
      <c r="F14" s="2">
        <f t="shared" si="14"/>
        <v>160</v>
      </c>
      <c r="G14" s="2">
        <f t="shared" si="14"/>
        <v>180</v>
      </c>
      <c r="H14" s="2">
        <f t="shared" si="14"/>
        <v>150</v>
      </c>
      <c r="K14" s="6">
        <v>2</v>
      </c>
      <c r="L14" s="2">
        <f t="shared" si="0"/>
        <v>3.5078884123025533</v>
      </c>
      <c r="M14" s="2">
        <f t="shared" si="1"/>
        <v>17.176714385745989</v>
      </c>
      <c r="N14" s="2">
        <f t="shared" si="2"/>
        <v>5.625</v>
      </c>
      <c r="O14" s="2">
        <f t="shared" si="3"/>
        <v>6</v>
      </c>
      <c r="P14" s="2">
        <f t="shared" si="4"/>
        <v>6.75</v>
      </c>
      <c r="Q14" s="2">
        <f t="shared" si="5"/>
        <v>5.625</v>
      </c>
      <c r="T14" s="6">
        <v>2</v>
      </c>
      <c r="U14" s="2">
        <f t="shared" si="6"/>
        <v>55.710464859086471</v>
      </c>
      <c r="V14" s="2">
        <f t="shared" si="7"/>
        <v>272.79167142992145</v>
      </c>
      <c r="W14" s="2">
        <f t="shared" si="8"/>
        <v>89.333333333333329</v>
      </c>
      <c r="X14" s="2">
        <f t="shared" si="9"/>
        <v>95.288888888888877</v>
      </c>
      <c r="Y14" s="2">
        <f t="shared" si="10"/>
        <v>107.19999999999999</v>
      </c>
      <c r="Z14" s="2">
        <f t="shared" si="11"/>
        <v>89.333333333333329</v>
      </c>
      <c r="AB14" s="12">
        <f t="shared" si="12"/>
        <v>3.7499999999999999E-2</v>
      </c>
      <c r="AD14" s="13">
        <f>IFERROR(macrs($D$3,$D$4,$AF14,$T14,TRUE),1)</f>
        <v>0.5955555555555555</v>
      </c>
      <c r="AF14" s="7">
        <v>0.5</v>
      </c>
      <c r="AI14" s="5" t="s">
        <v>18</v>
      </c>
      <c r="AJ14" s="2">
        <f t="shared" ref="AJ14:AO14" si="15">U55</f>
        <v>1258.5714285714243</v>
      </c>
      <c r="AK14" s="2">
        <f t="shared" si="15"/>
        <v>1344.6206524952618</v>
      </c>
      <c r="AL14" s="2">
        <f t="shared" si="15"/>
        <v>1512.2900835288938</v>
      </c>
      <c r="AM14" s="2">
        <f t="shared" si="15"/>
        <v>1580.8026773948491</v>
      </c>
      <c r="AN14" s="2">
        <f t="shared" si="15"/>
        <v>1744.4082021997854</v>
      </c>
      <c r="AO14" s="2">
        <f t="shared" si="15"/>
        <v>1903.6124534978958</v>
      </c>
    </row>
    <row r="15" spans="2:41" x14ac:dyDescent="0.25">
      <c r="B15" s="6">
        <v>3</v>
      </c>
      <c r="C15" s="8">
        <v>312.33020780950568</v>
      </c>
      <c r="D15" s="2">
        <f t="shared" ref="D15:H53" si="16">C14</f>
        <v>93.54369099473476</v>
      </c>
      <c r="E15" s="2">
        <f t="shared" si="14"/>
        <v>458.04571695322636</v>
      </c>
      <c r="F15" s="2">
        <f t="shared" si="14"/>
        <v>150</v>
      </c>
      <c r="G15" s="2">
        <f t="shared" si="14"/>
        <v>160</v>
      </c>
      <c r="H15" s="2">
        <f t="shared" si="14"/>
        <v>180</v>
      </c>
      <c r="K15" s="6">
        <v>3</v>
      </c>
      <c r="L15" s="2">
        <f t="shared" si="0"/>
        <v>19.520637988094105</v>
      </c>
      <c r="M15" s="2">
        <f t="shared" si="1"/>
        <v>5.8464806871709225</v>
      </c>
      <c r="N15" s="2">
        <f t="shared" si="2"/>
        <v>28.627857309576648</v>
      </c>
      <c r="O15" s="2">
        <f t="shared" si="3"/>
        <v>9.375</v>
      </c>
      <c r="P15" s="2">
        <f t="shared" si="4"/>
        <v>10</v>
      </c>
      <c r="Q15" s="2">
        <f t="shared" si="5"/>
        <v>11.25</v>
      </c>
      <c r="T15" s="6">
        <v>3</v>
      </c>
      <c r="U15" s="2">
        <f t="shared" si="6"/>
        <v>202.85268607953671</v>
      </c>
      <c r="V15" s="2">
        <f t="shared" si="7"/>
        <v>60.754895010506246</v>
      </c>
      <c r="W15" s="2">
        <f t="shared" si="8"/>
        <v>297.49221083302876</v>
      </c>
      <c r="X15" s="2">
        <f t="shared" si="9"/>
        <v>97.422222222222217</v>
      </c>
      <c r="Y15" s="2">
        <f t="shared" si="10"/>
        <v>103.91703703703703</v>
      </c>
      <c r="Z15" s="2">
        <f t="shared" si="11"/>
        <v>116.90666666666665</v>
      </c>
      <c r="AB15" s="12">
        <f t="shared" si="12"/>
        <v>6.25E-2</v>
      </c>
      <c r="AD15" s="13">
        <f>IFERROR(macrs($D$3,$D$4,$AF15,$T15,TRUE),1)</f>
        <v>0.64948148148148144</v>
      </c>
      <c r="AF15" s="7">
        <v>0.5</v>
      </c>
      <c r="AI15" s="1" t="s">
        <v>16</v>
      </c>
      <c r="AJ15" s="3">
        <f t="shared" ref="AJ15:AO15" si="17">(AJ14-AJ13)*$D$5</f>
        <v>300.49999999999335</v>
      </c>
      <c r="AK15" s="3">
        <f t="shared" si="17"/>
        <v>312.51347837333611</v>
      </c>
      <c r="AL15" s="3">
        <f t="shared" si="17"/>
        <v>352.33478060436073</v>
      </c>
      <c r="AM15" s="3">
        <f t="shared" si="17"/>
        <v>356.64012698291208</v>
      </c>
      <c r="AN15" s="3">
        <f t="shared" si="17"/>
        <v>392.96223943820826</v>
      </c>
      <c r="AO15" s="3">
        <f t="shared" si="17"/>
        <v>426.59950875683882</v>
      </c>
    </row>
    <row r="16" spans="2:41" x14ac:dyDescent="0.25">
      <c r="B16" s="6">
        <v>4</v>
      </c>
      <c r="C16" s="8">
        <v>202.28659498369308</v>
      </c>
      <c r="D16" s="2">
        <f t="shared" si="16"/>
        <v>312.33020780950568</v>
      </c>
      <c r="E16" s="2">
        <f t="shared" si="14"/>
        <v>93.54369099473476</v>
      </c>
      <c r="F16" s="2">
        <f t="shared" si="14"/>
        <v>458.04571695322636</v>
      </c>
      <c r="G16" s="2">
        <f t="shared" si="14"/>
        <v>150</v>
      </c>
      <c r="H16" s="2">
        <f t="shared" si="14"/>
        <v>160</v>
      </c>
      <c r="K16" s="6">
        <v>4</v>
      </c>
      <c r="L16" s="2">
        <f t="shared" si="0"/>
        <v>17.700077061073141</v>
      </c>
      <c r="M16" s="2">
        <f t="shared" si="1"/>
        <v>27.328893183331747</v>
      </c>
      <c r="N16" s="2">
        <f t="shared" si="2"/>
        <v>8.1850729620392908</v>
      </c>
      <c r="O16" s="2">
        <f t="shared" si="3"/>
        <v>40.079000233407307</v>
      </c>
      <c r="P16" s="2">
        <f t="shared" si="4"/>
        <v>13.125</v>
      </c>
      <c r="Q16" s="2">
        <f t="shared" si="5"/>
        <v>14</v>
      </c>
      <c r="T16" s="6">
        <v>4</v>
      </c>
      <c r="U16" s="2">
        <f t="shared" si="6"/>
        <v>79.38425249463765</v>
      </c>
      <c r="V16" s="2">
        <f t="shared" si="7"/>
        <v>122.56917014422616</v>
      </c>
      <c r="W16" s="2">
        <f t="shared" si="8"/>
        <v>36.709777955405343</v>
      </c>
      <c r="X16" s="2">
        <f t="shared" si="9"/>
        <v>179.75297301155058</v>
      </c>
      <c r="Y16" s="2">
        <f t="shared" si="10"/>
        <v>58.86518518518519</v>
      </c>
      <c r="Z16" s="2">
        <f t="shared" si="11"/>
        <v>62.789530864197538</v>
      </c>
      <c r="AB16" s="12">
        <f t="shared" si="12"/>
        <v>8.7499999999999994E-2</v>
      </c>
      <c r="AD16" s="13">
        <f>IFERROR(macrs($D$3,$D$4,$AF16,$T16,TRUE),1)</f>
        <v>0.3924345679012346</v>
      </c>
      <c r="AF16" s="7">
        <v>0</v>
      </c>
    </row>
    <row r="17" spans="2:32" x14ac:dyDescent="0.25">
      <c r="B17" s="6">
        <v>5</v>
      </c>
      <c r="C17" s="8">
        <v>165.44320255186742</v>
      </c>
      <c r="D17" s="2">
        <f t="shared" si="16"/>
        <v>202.28659498369308</v>
      </c>
      <c r="E17" s="2">
        <f t="shared" si="14"/>
        <v>312.33020780950568</v>
      </c>
      <c r="F17" s="2">
        <f t="shared" si="14"/>
        <v>93.54369099473476</v>
      </c>
      <c r="G17" s="2">
        <f t="shared" si="14"/>
        <v>458.04571695322636</v>
      </c>
      <c r="H17" s="2">
        <f t="shared" si="14"/>
        <v>150</v>
      </c>
      <c r="K17" s="6">
        <v>5</v>
      </c>
      <c r="L17" s="2">
        <f t="shared" si="0"/>
        <v>18.612360287085085</v>
      </c>
      <c r="M17" s="2">
        <f t="shared" si="1"/>
        <v>22.757241935665473</v>
      </c>
      <c r="N17" s="2">
        <f t="shared" si="2"/>
        <v>35.137148378569393</v>
      </c>
      <c r="O17" s="2">
        <f t="shared" si="3"/>
        <v>10.523665236907661</v>
      </c>
      <c r="P17" s="2">
        <f t="shared" si="4"/>
        <v>51.530143157237966</v>
      </c>
      <c r="Q17" s="2">
        <f t="shared" si="5"/>
        <v>16.875</v>
      </c>
      <c r="T17" s="6">
        <v>5</v>
      </c>
      <c r="U17" s="2">
        <f t="shared" si="6"/>
        <v>78.327974485135712</v>
      </c>
      <c r="V17" s="2">
        <f t="shared" si="7"/>
        <v>95.771231493178377</v>
      </c>
      <c r="W17" s="2">
        <f t="shared" si="8"/>
        <v>147.87064183293012</v>
      </c>
      <c r="X17" s="2">
        <f t="shared" si="9"/>
        <v>44.287633027315934</v>
      </c>
      <c r="Y17" s="2">
        <f t="shared" si="10"/>
        <v>216.85867220377403</v>
      </c>
      <c r="Z17" s="2">
        <f t="shared" si="11"/>
        <v>71.016493827160502</v>
      </c>
      <c r="AB17" s="12">
        <f t="shared" si="12"/>
        <v>0.1125</v>
      </c>
      <c r="AD17" s="13">
        <f>IFERROR(macrs($D$3,$D$4,$AF17,$T17,TRUE),1)</f>
        <v>0.47344329218107001</v>
      </c>
      <c r="AF17" s="7">
        <v>0</v>
      </c>
    </row>
    <row r="18" spans="2:32" x14ac:dyDescent="0.25">
      <c r="B18" s="6">
        <v>6</v>
      </c>
      <c r="C18" s="8">
        <v>133.99628391743801</v>
      </c>
      <c r="D18" s="2">
        <f t="shared" si="16"/>
        <v>165.44320255186742</v>
      </c>
      <c r="E18" s="2">
        <f t="shared" si="14"/>
        <v>202.28659498369308</v>
      </c>
      <c r="F18" s="2">
        <f t="shared" si="14"/>
        <v>312.33020780950568</v>
      </c>
      <c r="G18" s="2">
        <f t="shared" si="14"/>
        <v>93.54369099473476</v>
      </c>
      <c r="H18" s="2">
        <f t="shared" si="14"/>
        <v>458.04571695322636</v>
      </c>
      <c r="K18" s="6">
        <v>6</v>
      </c>
      <c r="L18" s="2">
        <f t="shared" si="0"/>
        <v>18.424489038647728</v>
      </c>
      <c r="M18" s="2">
        <f t="shared" si="1"/>
        <v>22.748440350881772</v>
      </c>
      <c r="N18" s="2">
        <f t="shared" si="2"/>
        <v>27.8144068102578</v>
      </c>
      <c r="O18" s="2">
        <f t="shared" si="3"/>
        <v>42.945403573807035</v>
      </c>
      <c r="P18" s="2">
        <f t="shared" si="4"/>
        <v>12.862257511776031</v>
      </c>
      <c r="Q18" s="2">
        <f t="shared" si="5"/>
        <v>62.981286081068632</v>
      </c>
      <c r="T18" s="6">
        <v>6</v>
      </c>
      <c r="U18" s="2">
        <f t="shared" si="6"/>
        <v>72.847194080506114</v>
      </c>
      <c r="V18" s="2">
        <f t="shared" si="7"/>
        <v>89.943338227366596</v>
      </c>
      <c r="W18" s="2">
        <f t="shared" si="8"/>
        <v>109.97327995858032</v>
      </c>
      <c r="X18" s="2">
        <f t="shared" si="9"/>
        <v>169.79858396314017</v>
      </c>
      <c r="Y18" s="2">
        <f t="shared" si="10"/>
        <v>50.855107422971777</v>
      </c>
      <c r="Z18" s="2">
        <f t="shared" si="11"/>
        <v>249.01694483703434</v>
      </c>
      <c r="AB18" s="12">
        <f t="shared" si="12"/>
        <v>0.13750000000000001</v>
      </c>
      <c r="AD18" s="13">
        <f>IFERROR(macrs($D$3,$D$4,$AF18,$T18,TRUE),1)</f>
        <v>0.54365085322359397</v>
      </c>
      <c r="AF18" s="7">
        <v>0</v>
      </c>
    </row>
    <row r="19" spans="2:32" x14ac:dyDescent="0.25">
      <c r="B19" s="6">
        <v>7</v>
      </c>
      <c r="C19" s="8">
        <v>107.22628726720528</v>
      </c>
      <c r="D19" s="2">
        <f t="shared" si="16"/>
        <v>133.99628391743801</v>
      </c>
      <c r="E19" s="2">
        <f t="shared" si="14"/>
        <v>165.44320255186742</v>
      </c>
      <c r="F19" s="2">
        <f t="shared" si="14"/>
        <v>202.28659498369308</v>
      </c>
      <c r="G19" s="2">
        <f t="shared" si="14"/>
        <v>312.33020780950568</v>
      </c>
      <c r="H19" s="2">
        <f t="shared" si="14"/>
        <v>93.54369099473476</v>
      </c>
      <c r="K19" s="6">
        <v>7</v>
      </c>
      <c r="L19" s="2">
        <f t="shared" si="0"/>
        <v>17.42427168092086</v>
      </c>
      <c r="M19" s="2">
        <f t="shared" si="1"/>
        <v>21.774396136583675</v>
      </c>
      <c r="N19" s="2">
        <f t="shared" si="2"/>
        <v>26.884520414678455</v>
      </c>
      <c r="O19" s="2">
        <f t="shared" si="3"/>
        <v>32.871571684850124</v>
      </c>
      <c r="P19" s="2">
        <f t="shared" si="4"/>
        <v>50.753658769044677</v>
      </c>
      <c r="Q19" s="2">
        <f t="shared" si="5"/>
        <v>15.200849786644399</v>
      </c>
      <c r="T19" s="6">
        <v>7</v>
      </c>
      <c r="U19" s="2">
        <f t="shared" si="6"/>
        <v>64.818012521666461</v>
      </c>
      <c r="V19" s="2">
        <f t="shared" si="7"/>
        <v>81.000406058763701</v>
      </c>
      <c r="W19" s="2">
        <f t="shared" si="8"/>
        <v>100.00998680396671</v>
      </c>
      <c r="X19" s="2">
        <f t="shared" si="9"/>
        <v>122.2817219619287</v>
      </c>
      <c r="Y19" s="2">
        <f t="shared" si="10"/>
        <v>188.8028004759889</v>
      </c>
      <c r="Z19" s="2">
        <f t="shared" si="11"/>
        <v>56.546918565873504</v>
      </c>
      <c r="AB19" s="12">
        <f t="shared" si="12"/>
        <v>0.16250000000000001</v>
      </c>
      <c r="AD19" s="13">
        <f>IFERROR(macrs($D$3,$D$4,$AF19,$T19,TRUE),1)</f>
        <v>0.60449740612711478</v>
      </c>
      <c r="AF19" s="7">
        <v>0</v>
      </c>
    </row>
    <row r="20" spans="2:32" x14ac:dyDescent="0.25">
      <c r="B20" s="6">
        <v>8</v>
      </c>
      <c r="C20" s="8">
        <v>84.509605739722033</v>
      </c>
      <c r="D20" s="2">
        <f t="shared" si="16"/>
        <v>107.22628726720528</v>
      </c>
      <c r="E20" s="2">
        <f t="shared" si="14"/>
        <v>133.99628391743801</v>
      </c>
      <c r="F20" s="2">
        <f t="shared" si="14"/>
        <v>165.44320255186742</v>
      </c>
      <c r="G20" s="2">
        <f t="shared" si="14"/>
        <v>202.28659498369308</v>
      </c>
      <c r="H20" s="2">
        <f t="shared" si="14"/>
        <v>312.33020780950568</v>
      </c>
      <c r="K20" s="6">
        <v>8</v>
      </c>
      <c r="L20" s="2">
        <f t="shared" si="0"/>
        <v>15.845551076197882</v>
      </c>
      <c r="M20" s="2">
        <f t="shared" si="1"/>
        <v>20.104928862600989</v>
      </c>
      <c r="N20" s="2">
        <f t="shared" si="2"/>
        <v>25.124303234519626</v>
      </c>
      <c r="O20" s="2">
        <f t="shared" si="3"/>
        <v>31.020600478475139</v>
      </c>
      <c r="P20" s="2">
        <f t="shared" si="4"/>
        <v>37.928736559442456</v>
      </c>
      <c r="Q20" s="2">
        <f t="shared" si="5"/>
        <v>58.561913964282311</v>
      </c>
      <c r="T20" s="6">
        <v>8</v>
      </c>
      <c r="U20" s="2">
        <f t="shared" si="6"/>
        <v>55.542339899451761</v>
      </c>
      <c r="V20" s="2">
        <f t="shared" si="7"/>
        <v>70.47244915440497</v>
      </c>
      <c r="W20" s="2">
        <f t="shared" si="8"/>
        <v>88.066523106586942</v>
      </c>
      <c r="X20" s="2">
        <f t="shared" si="9"/>
        <v>108.73441557035348</v>
      </c>
      <c r="Y20" s="2">
        <f t="shared" si="10"/>
        <v>132.94903836483061</v>
      </c>
      <c r="Z20" s="2">
        <f t="shared" si="11"/>
        <v>205.27312145379116</v>
      </c>
      <c r="AB20" s="12">
        <f t="shared" si="12"/>
        <v>0.1875</v>
      </c>
      <c r="AD20" s="13">
        <f>IFERROR(macrs($D$3,$D$4,$AF20,$T20,TRUE),1)</f>
        <v>0.65723108531016616</v>
      </c>
      <c r="AF20" s="7">
        <v>0</v>
      </c>
    </row>
    <row r="21" spans="2:32" x14ac:dyDescent="0.25">
      <c r="B21" s="6">
        <v>9</v>
      </c>
      <c r="C21" s="8">
        <v>64.548604427884584</v>
      </c>
      <c r="D21" s="2">
        <f t="shared" si="16"/>
        <v>84.509605739722033</v>
      </c>
      <c r="E21" s="2">
        <f t="shared" si="14"/>
        <v>107.22628726720528</v>
      </c>
      <c r="F21" s="2">
        <f t="shared" si="14"/>
        <v>133.99628391743801</v>
      </c>
      <c r="G21" s="2">
        <f t="shared" si="14"/>
        <v>165.44320255186742</v>
      </c>
      <c r="H21" s="2">
        <f t="shared" si="14"/>
        <v>202.28659498369308</v>
      </c>
      <c r="K21" s="6">
        <v>9</v>
      </c>
      <c r="L21" s="2">
        <f t="shared" si="0"/>
        <v>13.716578440925474</v>
      </c>
      <c r="M21" s="2">
        <f t="shared" si="1"/>
        <v>17.958291219690931</v>
      </c>
      <c r="N21" s="2">
        <f t="shared" si="2"/>
        <v>22.785586044281121</v>
      </c>
      <c r="O21" s="2">
        <f t="shared" si="3"/>
        <v>28.474210332455577</v>
      </c>
      <c r="P21" s="2">
        <f t="shared" si="4"/>
        <v>35.156680542271822</v>
      </c>
      <c r="Q21" s="2">
        <f t="shared" si="5"/>
        <v>42.98590143403478</v>
      </c>
      <c r="T21" s="6">
        <v>9</v>
      </c>
      <c r="U21" s="2">
        <f t="shared" si="6"/>
        <v>45.471216115238114</v>
      </c>
      <c r="V21" s="2">
        <f t="shared" si="7"/>
        <v>59.532728561121644</v>
      </c>
      <c r="W21" s="2">
        <f t="shared" si="8"/>
        <v>75.535477874025432</v>
      </c>
      <c r="X21" s="2">
        <f t="shared" si="9"/>
        <v>94.393581993796019</v>
      </c>
      <c r="Y21" s="2">
        <f t="shared" si="10"/>
        <v>116.54634030760285</v>
      </c>
      <c r="Z21" s="2">
        <f t="shared" si="11"/>
        <v>142.50064055212289</v>
      </c>
      <c r="AB21" s="12">
        <f t="shared" si="12"/>
        <v>0.21249999999999999</v>
      </c>
      <c r="AD21" s="13">
        <f>IFERROR(macrs($D$3,$D$4,$AF21,$T21,TRUE),1)</f>
        <v>0.70444925212968412</v>
      </c>
      <c r="AF21" s="7">
        <v>0</v>
      </c>
    </row>
    <row r="22" spans="2:32" x14ac:dyDescent="0.25">
      <c r="B22" s="6">
        <v>10</v>
      </c>
      <c r="C22" s="8">
        <v>45.461332926241226</v>
      </c>
      <c r="D22" s="2">
        <f t="shared" si="16"/>
        <v>64.548604427884584</v>
      </c>
      <c r="E22" s="2">
        <f t="shared" si="14"/>
        <v>84.509605739722033</v>
      </c>
      <c r="F22" s="2">
        <f t="shared" si="14"/>
        <v>107.22628726720528</v>
      </c>
      <c r="G22" s="2">
        <f t="shared" si="14"/>
        <v>133.99628391743801</v>
      </c>
      <c r="H22" s="2">
        <f t="shared" si="14"/>
        <v>165.44320255186742</v>
      </c>
      <c r="K22" s="6">
        <v>10</v>
      </c>
      <c r="L22" s="2">
        <f t="shared" si="0"/>
        <v>10.797066569982292</v>
      </c>
      <c r="M22" s="2">
        <f t="shared" si="1"/>
        <v>15.330293551622589</v>
      </c>
      <c r="N22" s="2">
        <f t="shared" si="2"/>
        <v>20.07103136318398</v>
      </c>
      <c r="O22" s="2">
        <f t="shared" si="3"/>
        <v>25.466243225961254</v>
      </c>
      <c r="P22" s="2">
        <f t="shared" si="4"/>
        <v>31.824117430391524</v>
      </c>
      <c r="Q22" s="2">
        <f t="shared" si="5"/>
        <v>39.292760606068512</v>
      </c>
      <c r="T22" s="6">
        <v>10</v>
      </c>
      <c r="U22" s="2">
        <f t="shared" si="6"/>
        <v>34.092299049252603</v>
      </c>
      <c r="V22" s="2">
        <f t="shared" si="7"/>
        <v>48.406198932568337</v>
      </c>
      <c r="W22" s="2">
        <f t="shared" si="8"/>
        <v>63.375325050137093</v>
      </c>
      <c r="X22" s="2">
        <f t="shared" si="9"/>
        <v>80.410987011437712</v>
      </c>
      <c r="Y22" s="2">
        <f t="shared" si="10"/>
        <v>100.48630536666403</v>
      </c>
      <c r="Z22" s="2">
        <f t="shared" si="11"/>
        <v>124.06893449902816</v>
      </c>
      <c r="AB22" s="12">
        <f t="shared" si="12"/>
        <v>0.23749999999999999</v>
      </c>
      <c r="AD22" s="13">
        <f>IFERROR(macrs($D$3,$D$4,$AF22,$T22,TRUE),1)</f>
        <v>0.74991859795588656</v>
      </c>
      <c r="AF22" s="7">
        <v>0</v>
      </c>
    </row>
    <row r="23" spans="2:32" x14ac:dyDescent="0.25">
      <c r="B23" s="6">
        <v>11</v>
      </c>
      <c r="C23" s="8">
        <v>26.374053415337645</v>
      </c>
      <c r="D23" s="2">
        <f t="shared" si="16"/>
        <v>45.461332926241226</v>
      </c>
      <c r="E23" s="2">
        <f t="shared" si="14"/>
        <v>64.548604427884584</v>
      </c>
      <c r="F23" s="2">
        <f t="shared" si="14"/>
        <v>84.509605739722033</v>
      </c>
      <c r="G23" s="2">
        <f t="shared" si="14"/>
        <v>107.22628726720528</v>
      </c>
      <c r="H23" s="2">
        <f t="shared" si="14"/>
        <v>133.99628391743801</v>
      </c>
      <c r="K23" s="6">
        <v>11</v>
      </c>
      <c r="L23" s="2">
        <f t="shared" si="0"/>
        <v>6.9231890215261318</v>
      </c>
      <c r="M23" s="2">
        <f t="shared" si="1"/>
        <v>11.933599893138322</v>
      </c>
      <c r="N23" s="2">
        <f t="shared" si="2"/>
        <v>16.944008662319703</v>
      </c>
      <c r="O23" s="2">
        <f t="shared" si="3"/>
        <v>22.183771506677036</v>
      </c>
      <c r="P23" s="2">
        <f t="shared" si="4"/>
        <v>28.146900407641386</v>
      </c>
      <c r="Q23" s="2">
        <f t="shared" si="5"/>
        <v>35.174024528327479</v>
      </c>
      <c r="T23" s="6">
        <v>11</v>
      </c>
      <c r="U23" s="2">
        <f t="shared" si="6"/>
        <v>20.977604115224391</v>
      </c>
      <c r="V23" s="2">
        <f t="shared" si="7"/>
        <v>36.159396117795986</v>
      </c>
      <c r="W23" s="2">
        <f t="shared" si="8"/>
        <v>51.341181749898567</v>
      </c>
      <c r="X23" s="2">
        <f t="shared" si="9"/>
        <v>67.217921539152528</v>
      </c>
      <c r="Y23" s="2">
        <f t="shared" si="10"/>
        <v>85.286496148849992</v>
      </c>
      <c r="Z23" s="2">
        <f t="shared" si="11"/>
        <v>106.57902873953202</v>
      </c>
      <c r="AB23" s="12">
        <f t="shared" si="12"/>
        <v>0.26250000000000001</v>
      </c>
      <c r="AD23" s="13">
        <f>IFERROR(macrs($D$3,$D$4,$AF23,$T23,TRUE),1)</f>
        <v>0.79538794378208899</v>
      </c>
      <c r="AF23" s="7">
        <v>0</v>
      </c>
    </row>
    <row r="24" spans="2:32" x14ac:dyDescent="0.25">
      <c r="B24" s="6">
        <v>12</v>
      </c>
      <c r="C24" s="8">
        <v>7.2867823006913444</v>
      </c>
      <c r="D24" s="2">
        <f t="shared" si="16"/>
        <v>26.374053415337645</v>
      </c>
      <c r="E24" s="2">
        <f t="shared" si="14"/>
        <v>45.461332926241226</v>
      </c>
      <c r="F24" s="2">
        <f t="shared" si="14"/>
        <v>64.548604427884584</v>
      </c>
      <c r="G24" s="2">
        <f t="shared" si="14"/>
        <v>84.509605739722033</v>
      </c>
      <c r="H24" s="2">
        <f t="shared" si="14"/>
        <v>107.22628726720528</v>
      </c>
      <c r="K24" s="6">
        <v>12</v>
      </c>
      <c r="L24" s="2">
        <f t="shared" si="0"/>
        <v>2.0949499114487615</v>
      </c>
      <c r="M24" s="2">
        <f t="shared" si="1"/>
        <v>7.582540356909572</v>
      </c>
      <c r="N24" s="2">
        <f t="shared" si="2"/>
        <v>13.070133216294352</v>
      </c>
      <c r="O24" s="2">
        <f t="shared" si="3"/>
        <v>18.557723773016818</v>
      </c>
      <c r="P24" s="2">
        <f t="shared" si="4"/>
        <v>24.296511650170082</v>
      </c>
      <c r="Q24" s="2">
        <f t="shared" si="5"/>
        <v>30.827557589321515</v>
      </c>
      <c r="T24" s="6">
        <v>12</v>
      </c>
      <c r="U24" s="2">
        <f t="shared" si="6"/>
        <v>6.1271440153249941</v>
      </c>
      <c r="V24" s="2">
        <f t="shared" si="7"/>
        <v>22.176815070805112</v>
      </c>
      <c r="W24" s="2">
        <f t="shared" si="8"/>
        <v>38.226493186339376</v>
      </c>
      <c r="X24" s="2">
        <f t="shared" si="9"/>
        <v>54.27616456722879</v>
      </c>
      <c r="Y24" s="2">
        <f t="shared" si="10"/>
        <v>71.060518028167976</v>
      </c>
      <c r="Z24" s="2">
        <f t="shared" si="11"/>
        <v>90.162005286262286</v>
      </c>
      <c r="AB24" s="12">
        <f t="shared" si="12"/>
        <v>0.28749999999999998</v>
      </c>
      <c r="AD24" s="13">
        <f>IFERROR(macrs($D$3,$D$4,$AF24,$T24,TRUE),1)</f>
        <v>0.84085728960829142</v>
      </c>
      <c r="AF24" s="7">
        <v>0</v>
      </c>
    </row>
    <row r="25" spans="2:32" x14ac:dyDescent="0.25">
      <c r="B25" s="6">
        <v>13</v>
      </c>
      <c r="C25" s="8">
        <v>4</v>
      </c>
      <c r="D25" s="2">
        <f t="shared" si="16"/>
        <v>7.2867823006913444</v>
      </c>
      <c r="E25" s="2">
        <f t="shared" si="14"/>
        <v>26.374053415337645</v>
      </c>
      <c r="F25" s="2">
        <f t="shared" si="14"/>
        <v>45.461332926241226</v>
      </c>
      <c r="G25" s="2">
        <f t="shared" si="14"/>
        <v>64.548604427884584</v>
      </c>
      <c r="H25" s="2">
        <f t="shared" si="14"/>
        <v>84.509605739722033</v>
      </c>
      <c r="K25" s="6">
        <v>13</v>
      </c>
      <c r="L25" s="2">
        <f t="shared" si="0"/>
        <v>1.25</v>
      </c>
      <c r="M25" s="2">
        <f t="shared" si="1"/>
        <v>2.277119468966045</v>
      </c>
      <c r="N25" s="2">
        <f t="shared" si="2"/>
        <v>8.2418916922930148</v>
      </c>
      <c r="O25" s="2">
        <f t="shared" si="3"/>
        <v>14.206666539450383</v>
      </c>
      <c r="P25" s="2">
        <f t="shared" si="4"/>
        <v>20.171438883713932</v>
      </c>
      <c r="Q25" s="2">
        <f t="shared" si="5"/>
        <v>26.409251793663135</v>
      </c>
      <c r="T25" s="6">
        <v>13</v>
      </c>
      <c r="U25" s="2">
        <f t="shared" si="6"/>
        <v>3.5453065417379754</v>
      </c>
      <c r="V25" s="2">
        <f t="shared" si="7"/>
        <v>6.45846923971538</v>
      </c>
      <c r="W25" s="2">
        <f t="shared" si="8"/>
        <v>23.376026026385837</v>
      </c>
      <c r="X25" s="2">
        <f t="shared" si="9"/>
        <v>40.293590254882758</v>
      </c>
      <c r="Y25" s="2">
        <f t="shared" si="10"/>
        <v>57.211147384559013</v>
      </c>
      <c r="Z25" s="2">
        <f t="shared" si="11"/>
        <v>74.903114517183425</v>
      </c>
      <c r="AB25" s="12">
        <f t="shared" si="12"/>
        <v>0.3125</v>
      </c>
      <c r="AD25" s="13">
        <f>IFERROR(macrs($D$3,$D$4,$AF25,$T25,TRUE),1)</f>
        <v>0.88632663543449386</v>
      </c>
      <c r="AF25" s="7">
        <v>0</v>
      </c>
    </row>
    <row r="26" spans="2:32" x14ac:dyDescent="0.25">
      <c r="B26" s="6">
        <v>14</v>
      </c>
      <c r="C26" s="8">
        <v>3.9999512195121967</v>
      </c>
      <c r="D26" s="2">
        <f t="shared" si="16"/>
        <v>4</v>
      </c>
      <c r="E26" s="2">
        <f t="shared" si="14"/>
        <v>7.2867823006913444</v>
      </c>
      <c r="F26" s="2">
        <f t="shared" si="14"/>
        <v>26.374053415337645</v>
      </c>
      <c r="G26" s="2">
        <f t="shared" si="14"/>
        <v>45.461332926241226</v>
      </c>
      <c r="H26" s="2">
        <f t="shared" si="14"/>
        <v>64.548604427884584</v>
      </c>
      <c r="K26" s="6">
        <v>14</v>
      </c>
      <c r="L26" s="2">
        <f t="shared" si="0"/>
        <v>1.3499835365853665</v>
      </c>
      <c r="M26" s="2">
        <f t="shared" si="1"/>
        <v>1.35</v>
      </c>
      <c r="N26" s="2">
        <f t="shared" si="2"/>
        <v>2.4592890264833289</v>
      </c>
      <c r="O26" s="2">
        <f t="shared" si="3"/>
        <v>8.9012430276764558</v>
      </c>
      <c r="P26" s="2">
        <f t="shared" si="4"/>
        <v>15.343199862606415</v>
      </c>
      <c r="Q26" s="2">
        <f t="shared" si="5"/>
        <v>21.785153994411047</v>
      </c>
      <c r="T26" s="6">
        <v>14</v>
      </c>
      <c r="U26" s="2">
        <f t="shared" si="6"/>
        <v>3.727138471580286</v>
      </c>
      <c r="V26" s="2">
        <f t="shared" si="7"/>
        <v>3.7271839250427852</v>
      </c>
      <c r="W26" s="2">
        <f t="shared" si="8"/>
        <v>6.789794464105765</v>
      </c>
      <c r="X26" s="2">
        <f t="shared" si="9"/>
        <v>24.575236981966558</v>
      </c>
      <c r="Y26" s="2">
        <f t="shared" si="10"/>
        <v>42.360687323426149</v>
      </c>
      <c r="Z26" s="2">
        <f t="shared" si="11"/>
        <v>60.146130201889243</v>
      </c>
      <c r="AB26" s="12">
        <f t="shared" si="12"/>
        <v>0.33750000000000002</v>
      </c>
      <c r="AD26" s="13">
        <f>IFERROR(macrs($D$3,$D$4,$AF26,$T26,TRUE),1)</f>
        <v>0.93179598126069629</v>
      </c>
      <c r="AF26" s="7">
        <v>0</v>
      </c>
    </row>
    <row r="27" spans="2:32" x14ac:dyDescent="0.25">
      <c r="B27" s="6">
        <v>15</v>
      </c>
      <c r="C27" s="8">
        <v>4</v>
      </c>
      <c r="D27" s="2">
        <f t="shared" si="16"/>
        <v>3.9999512195121967</v>
      </c>
      <c r="E27" s="2">
        <f t="shared" si="14"/>
        <v>4</v>
      </c>
      <c r="F27" s="2">
        <f t="shared" si="14"/>
        <v>7.2867823006913444</v>
      </c>
      <c r="G27" s="2">
        <f t="shared" si="14"/>
        <v>26.374053415337645</v>
      </c>
      <c r="H27" s="2">
        <f t="shared" si="14"/>
        <v>45.461332926241226</v>
      </c>
      <c r="K27" s="6">
        <v>15</v>
      </c>
      <c r="L27" s="2">
        <f t="shared" si="0"/>
        <v>1.45</v>
      </c>
      <c r="M27" s="2">
        <f t="shared" si="1"/>
        <v>1.4499823170731712</v>
      </c>
      <c r="N27" s="2">
        <f t="shared" si="2"/>
        <v>1.45</v>
      </c>
      <c r="O27" s="2">
        <f t="shared" si="3"/>
        <v>2.6414585840006124</v>
      </c>
      <c r="P27" s="2">
        <f t="shared" si="4"/>
        <v>9.5605943630598968</v>
      </c>
      <c r="Q27" s="2">
        <f t="shared" si="5"/>
        <v>16.479733185762445</v>
      </c>
      <c r="T27" s="6">
        <v>15</v>
      </c>
      <c r="U27" s="2">
        <f t="shared" si="6"/>
        <v>3.9090613083475949</v>
      </c>
      <c r="V27" s="2">
        <f t="shared" si="7"/>
        <v>3.9090136368682264</v>
      </c>
      <c r="W27" s="2">
        <f t="shared" si="8"/>
        <v>3.9090613083475949</v>
      </c>
      <c r="X27" s="2">
        <f t="shared" si="9"/>
        <v>7.121119688496151</v>
      </c>
      <c r="Y27" s="2">
        <f t="shared" si="10"/>
        <v>25.774447937547283</v>
      </c>
      <c r="Z27" s="2">
        <f t="shared" si="11"/>
        <v>44.427784391969531</v>
      </c>
      <c r="AB27" s="12">
        <f t="shared" si="12"/>
        <v>0.36249999999999999</v>
      </c>
      <c r="AD27" s="13">
        <f>IFERROR(macrs($D$3,$D$4,$AF27,$T27,TRUE),1)</f>
        <v>0.97726532708689873</v>
      </c>
      <c r="AF27" s="7">
        <v>0</v>
      </c>
    </row>
    <row r="28" spans="2:32" x14ac:dyDescent="0.25">
      <c r="B28" s="6">
        <v>16</v>
      </c>
      <c r="C28" s="8">
        <v>4</v>
      </c>
      <c r="D28" s="2">
        <f t="shared" si="16"/>
        <v>4</v>
      </c>
      <c r="E28" s="2">
        <f t="shared" si="14"/>
        <v>3.9999512195121967</v>
      </c>
      <c r="F28" s="2">
        <f t="shared" si="14"/>
        <v>4</v>
      </c>
      <c r="G28" s="2">
        <f t="shared" si="14"/>
        <v>7.2867823006913444</v>
      </c>
      <c r="H28" s="2">
        <f t="shared" si="14"/>
        <v>26.374053415337645</v>
      </c>
      <c r="K28" s="6">
        <v>16</v>
      </c>
      <c r="L28" s="2">
        <f t="shared" si="0"/>
        <v>1.55</v>
      </c>
      <c r="M28" s="2">
        <f t="shared" si="1"/>
        <v>1.55</v>
      </c>
      <c r="N28" s="2">
        <f t="shared" si="2"/>
        <v>1.5499810975609762</v>
      </c>
      <c r="O28" s="2">
        <f t="shared" si="3"/>
        <v>1.55</v>
      </c>
      <c r="P28" s="2">
        <f t="shared" si="4"/>
        <v>2.8236281415178959</v>
      </c>
      <c r="Q28" s="2">
        <f t="shared" si="5"/>
        <v>10.219945698443338</v>
      </c>
      <c r="T28" s="6">
        <v>16</v>
      </c>
      <c r="U28" s="2">
        <f t="shared" si="6"/>
        <v>4</v>
      </c>
      <c r="V28" s="2">
        <f t="shared" si="7"/>
        <v>4</v>
      </c>
      <c r="W28" s="2">
        <f t="shared" si="8"/>
        <v>3.9999512195121967</v>
      </c>
      <c r="X28" s="2">
        <f t="shared" si="9"/>
        <v>4</v>
      </c>
      <c r="Y28" s="2">
        <f t="shared" si="10"/>
        <v>7.2867823006913444</v>
      </c>
      <c r="Z28" s="2">
        <f t="shared" si="11"/>
        <v>26.374053415337645</v>
      </c>
      <c r="AB28" s="12">
        <f t="shared" si="12"/>
        <v>0.38750000000000001</v>
      </c>
      <c r="AD28" s="13">
        <f>IFERROR(macrs($D$3,$D$4,$AF28,$T28,TRUE),1)</f>
        <v>1</v>
      </c>
      <c r="AF28" s="7">
        <v>0</v>
      </c>
    </row>
    <row r="29" spans="2:32" x14ac:dyDescent="0.25">
      <c r="B29" s="6">
        <v>17</v>
      </c>
      <c r="C29" s="8">
        <v>4</v>
      </c>
      <c r="D29" s="2">
        <f t="shared" si="16"/>
        <v>4</v>
      </c>
      <c r="E29" s="2">
        <f t="shared" si="14"/>
        <v>4</v>
      </c>
      <c r="F29" s="2">
        <f t="shared" si="14"/>
        <v>3.9999512195121967</v>
      </c>
      <c r="G29" s="2">
        <f t="shared" si="14"/>
        <v>4</v>
      </c>
      <c r="H29" s="2">
        <f t="shared" si="14"/>
        <v>7.2867823006913444</v>
      </c>
      <c r="K29" s="6">
        <v>17</v>
      </c>
      <c r="L29" s="2">
        <f t="shared" si="0"/>
        <v>1.65</v>
      </c>
      <c r="M29" s="2">
        <f t="shared" si="1"/>
        <v>1.65</v>
      </c>
      <c r="N29" s="2">
        <f t="shared" si="2"/>
        <v>1.65</v>
      </c>
      <c r="O29" s="2">
        <f t="shared" si="3"/>
        <v>1.6499798780487811</v>
      </c>
      <c r="P29" s="2">
        <f t="shared" si="4"/>
        <v>1.65</v>
      </c>
      <c r="Q29" s="2">
        <f t="shared" si="5"/>
        <v>3.0057976990351793</v>
      </c>
      <c r="T29" s="6">
        <v>17</v>
      </c>
      <c r="U29" s="2">
        <f t="shared" si="6"/>
        <v>4</v>
      </c>
      <c r="V29" s="2">
        <f t="shared" si="7"/>
        <v>4</v>
      </c>
      <c r="W29" s="2">
        <f t="shared" si="8"/>
        <v>4</v>
      </c>
      <c r="X29" s="2">
        <f t="shared" si="9"/>
        <v>3.9999512195121967</v>
      </c>
      <c r="Y29" s="2">
        <f t="shared" si="10"/>
        <v>4</v>
      </c>
      <c r="Z29" s="2">
        <f t="shared" si="11"/>
        <v>7.2867823006913444</v>
      </c>
      <c r="AB29" s="12">
        <f t="shared" si="12"/>
        <v>0.41249999999999998</v>
      </c>
      <c r="AD29" s="13">
        <f>IFERROR(macrs($D$3,$D$4,$AF29,$T29,TRUE),1)</f>
        <v>1</v>
      </c>
      <c r="AF29" s="7">
        <v>0</v>
      </c>
    </row>
    <row r="30" spans="2:32" x14ac:dyDescent="0.25">
      <c r="B30" s="6">
        <v>18</v>
      </c>
      <c r="C30" s="8">
        <v>3.9999999999999982</v>
      </c>
      <c r="D30" s="2">
        <f t="shared" si="16"/>
        <v>4</v>
      </c>
      <c r="E30" s="2">
        <f t="shared" si="16"/>
        <v>4</v>
      </c>
      <c r="F30" s="2">
        <f t="shared" si="16"/>
        <v>4</v>
      </c>
      <c r="G30" s="2">
        <f t="shared" si="16"/>
        <v>3.9999512195121967</v>
      </c>
      <c r="H30" s="2">
        <f t="shared" si="16"/>
        <v>4</v>
      </c>
      <c r="K30" s="6">
        <v>18</v>
      </c>
      <c r="L30" s="2">
        <f t="shared" si="0"/>
        <v>1.7499999999999991</v>
      </c>
      <c r="M30" s="2">
        <f t="shared" si="1"/>
        <v>1.75</v>
      </c>
      <c r="N30" s="2">
        <f t="shared" si="2"/>
        <v>1.75</v>
      </c>
      <c r="O30" s="2">
        <f t="shared" si="3"/>
        <v>1.75</v>
      </c>
      <c r="P30" s="2">
        <f t="shared" si="4"/>
        <v>1.749978658536586</v>
      </c>
      <c r="Q30" s="2">
        <f t="shared" si="5"/>
        <v>1.75</v>
      </c>
      <c r="T30" s="6">
        <v>18</v>
      </c>
      <c r="U30" s="2">
        <f t="shared" si="6"/>
        <v>3.9999999999999982</v>
      </c>
      <c r="V30" s="2">
        <f t="shared" si="7"/>
        <v>4</v>
      </c>
      <c r="W30" s="2">
        <f t="shared" si="8"/>
        <v>4</v>
      </c>
      <c r="X30" s="2">
        <f t="shared" si="9"/>
        <v>4</v>
      </c>
      <c r="Y30" s="2">
        <f t="shared" si="10"/>
        <v>3.9999512195121967</v>
      </c>
      <c r="Z30" s="2">
        <f t="shared" si="11"/>
        <v>4</v>
      </c>
      <c r="AB30" s="12">
        <f t="shared" si="12"/>
        <v>0.4375</v>
      </c>
      <c r="AD30" s="13">
        <f>IFERROR(macrs($D$3,$D$4,$AF30,$T30,TRUE),1)</f>
        <v>1</v>
      </c>
      <c r="AF30" s="7">
        <v>0</v>
      </c>
    </row>
    <row r="31" spans="2:32" x14ac:dyDescent="0.25">
      <c r="B31" s="6">
        <v>19</v>
      </c>
      <c r="C31" s="8">
        <v>4</v>
      </c>
      <c r="D31" s="2">
        <f t="shared" si="16"/>
        <v>3.9999999999999982</v>
      </c>
      <c r="E31" s="2">
        <f t="shared" si="16"/>
        <v>4</v>
      </c>
      <c r="F31" s="2">
        <f t="shared" si="16"/>
        <v>4</v>
      </c>
      <c r="G31" s="2">
        <f t="shared" si="16"/>
        <v>4</v>
      </c>
      <c r="H31" s="2">
        <f t="shared" si="16"/>
        <v>3.9999512195121967</v>
      </c>
      <c r="K31" s="6">
        <v>19</v>
      </c>
      <c r="L31" s="2">
        <f t="shared" si="0"/>
        <v>1.85</v>
      </c>
      <c r="M31" s="2">
        <f t="shared" si="1"/>
        <v>1.8499999999999992</v>
      </c>
      <c r="N31" s="2">
        <f t="shared" si="2"/>
        <v>1.85</v>
      </c>
      <c r="O31" s="2">
        <f t="shared" si="3"/>
        <v>1.85</v>
      </c>
      <c r="P31" s="2">
        <f t="shared" si="4"/>
        <v>1.85</v>
      </c>
      <c r="Q31" s="2">
        <f t="shared" si="5"/>
        <v>1.849977439024391</v>
      </c>
      <c r="T31" s="6">
        <v>19</v>
      </c>
      <c r="U31" s="2">
        <f t="shared" si="6"/>
        <v>4</v>
      </c>
      <c r="V31" s="2">
        <f t="shared" si="7"/>
        <v>3.9999999999999982</v>
      </c>
      <c r="W31" s="2">
        <f t="shared" si="8"/>
        <v>4</v>
      </c>
      <c r="X31" s="2">
        <f t="shared" si="9"/>
        <v>4</v>
      </c>
      <c r="Y31" s="2">
        <f t="shared" si="10"/>
        <v>4</v>
      </c>
      <c r="Z31" s="2">
        <f t="shared" si="11"/>
        <v>3.9999512195121967</v>
      </c>
      <c r="AB31" s="12">
        <f t="shared" si="12"/>
        <v>0.46250000000000002</v>
      </c>
      <c r="AD31" s="13">
        <f>IFERROR(macrs($D$3,$D$4,$AF31,$T31,TRUE),1)</f>
        <v>1</v>
      </c>
      <c r="AF31" s="7">
        <v>0</v>
      </c>
    </row>
    <row r="32" spans="2:32" x14ac:dyDescent="0.25">
      <c r="B32" s="6">
        <v>20</v>
      </c>
      <c r="C32" s="8">
        <v>4</v>
      </c>
      <c r="D32" s="2">
        <f t="shared" si="16"/>
        <v>4</v>
      </c>
      <c r="E32" s="2">
        <f t="shared" si="16"/>
        <v>3.9999999999999982</v>
      </c>
      <c r="F32" s="2">
        <f t="shared" si="16"/>
        <v>4</v>
      </c>
      <c r="G32" s="2">
        <f t="shared" si="16"/>
        <v>4</v>
      </c>
      <c r="H32" s="2">
        <f t="shared" si="16"/>
        <v>4</v>
      </c>
      <c r="K32" s="6">
        <v>20</v>
      </c>
      <c r="L32" s="2">
        <f t="shared" si="0"/>
        <v>1.95</v>
      </c>
      <c r="M32" s="2">
        <f t="shared" si="1"/>
        <v>1.95</v>
      </c>
      <c r="N32" s="2">
        <f t="shared" si="2"/>
        <v>1.9499999999999991</v>
      </c>
      <c r="O32" s="2">
        <f t="shared" si="3"/>
        <v>1.95</v>
      </c>
      <c r="P32" s="2">
        <f t="shared" si="4"/>
        <v>1.95</v>
      </c>
      <c r="Q32" s="2">
        <f t="shared" si="5"/>
        <v>1.95</v>
      </c>
      <c r="T32" s="6">
        <v>20</v>
      </c>
      <c r="U32" s="2">
        <f t="shared" si="6"/>
        <v>4</v>
      </c>
      <c r="V32" s="2">
        <f t="shared" si="7"/>
        <v>4</v>
      </c>
      <c r="W32" s="2">
        <f t="shared" si="8"/>
        <v>3.9999999999999982</v>
      </c>
      <c r="X32" s="2">
        <f t="shared" si="9"/>
        <v>4</v>
      </c>
      <c r="Y32" s="2">
        <f t="shared" si="10"/>
        <v>4</v>
      </c>
      <c r="Z32" s="2">
        <f t="shared" si="11"/>
        <v>4</v>
      </c>
      <c r="AB32" s="12">
        <f t="shared" si="12"/>
        <v>0.48749999999999999</v>
      </c>
      <c r="AD32" s="13">
        <f>IFERROR(macrs($D$3,$D$4,$AF32,$T32,TRUE),1)</f>
        <v>1</v>
      </c>
      <c r="AF32" s="7">
        <v>0</v>
      </c>
    </row>
    <row r="33" spans="2:32" x14ac:dyDescent="0.25">
      <c r="B33" s="6">
        <v>21</v>
      </c>
      <c r="C33" s="8">
        <v>4</v>
      </c>
      <c r="D33" s="2">
        <f t="shared" si="16"/>
        <v>4</v>
      </c>
      <c r="E33" s="2">
        <f t="shared" si="16"/>
        <v>4</v>
      </c>
      <c r="F33" s="2">
        <f t="shared" si="16"/>
        <v>3.9999999999999982</v>
      </c>
      <c r="G33" s="2">
        <f t="shared" si="16"/>
        <v>4</v>
      </c>
      <c r="H33" s="2">
        <f t="shared" si="16"/>
        <v>4</v>
      </c>
      <c r="K33" s="6">
        <v>21</v>
      </c>
      <c r="L33" s="2">
        <f t="shared" si="0"/>
        <v>2.0499999999999998</v>
      </c>
      <c r="M33" s="2">
        <f t="shared" si="1"/>
        <v>2.0499999999999998</v>
      </c>
      <c r="N33" s="2">
        <f t="shared" si="2"/>
        <v>2.0499999999999998</v>
      </c>
      <c r="O33" s="2">
        <f t="shared" si="3"/>
        <v>2.0499999999999989</v>
      </c>
      <c r="P33" s="2">
        <f t="shared" si="4"/>
        <v>2.0499999999999998</v>
      </c>
      <c r="Q33" s="2">
        <f t="shared" si="5"/>
        <v>2.0499999999999998</v>
      </c>
      <c r="T33" s="6">
        <v>21</v>
      </c>
      <c r="U33" s="2">
        <f t="shared" si="6"/>
        <v>4</v>
      </c>
      <c r="V33" s="2">
        <f t="shared" si="7"/>
        <v>4</v>
      </c>
      <c r="W33" s="2">
        <f t="shared" si="8"/>
        <v>4</v>
      </c>
      <c r="X33" s="2">
        <f t="shared" si="9"/>
        <v>3.9999999999999982</v>
      </c>
      <c r="Y33" s="2">
        <f t="shared" si="10"/>
        <v>4</v>
      </c>
      <c r="Z33" s="2">
        <f t="shared" si="11"/>
        <v>4</v>
      </c>
      <c r="AB33" s="12">
        <f t="shared" si="12"/>
        <v>0.51249999999999996</v>
      </c>
      <c r="AD33" s="13">
        <f>IFERROR(macrs($D$3,$D$4,$AF33,$T33,TRUE),1)</f>
        <v>1</v>
      </c>
      <c r="AF33" s="7">
        <v>0</v>
      </c>
    </row>
    <row r="34" spans="2:32" x14ac:dyDescent="0.25">
      <c r="B34" s="6">
        <v>22</v>
      </c>
      <c r="C34" s="8">
        <v>4</v>
      </c>
      <c r="D34" s="2">
        <f t="shared" si="16"/>
        <v>4</v>
      </c>
      <c r="E34" s="2">
        <f t="shared" si="16"/>
        <v>4</v>
      </c>
      <c r="F34" s="2">
        <f t="shared" si="16"/>
        <v>4</v>
      </c>
      <c r="G34" s="2">
        <f t="shared" si="16"/>
        <v>3.9999999999999982</v>
      </c>
      <c r="H34" s="2">
        <f t="shared" si="16"/>
        <v>4</v>
      </c>
      <c r="K34" s="6">
        <v>22</v>
      </c>
      <c r="L34" s="2">
        <f t="shared" si="0"/>
        <v>2.15</v>
      </c>
      <c r="M34" s="2">
        <f t="shared" si="1"/>
        <v>2.15</v>
      </c>
      <c r="N34" s="2">
        <f t="shared" si="2"/>
        <v>2.15</v>
      </c>
      <c r="O34" s="2">
        <f t="shared" si="3"/>
        <v>2.15</v>
      </c>
      <c r="P34" s="2">
        <f t="shared" si="4"/>
        <v>2.149999999999999</v>
      </c>
      <c r="Q34" s="2">
        <f t="shared" si="5"/>
        <v>2.15</v>
      </c>
      <c r="T34" s="6">
        <v>22</v>
      </c>
      <c r="U34" s="2">
        <f t="shared" si="6"/>
        <v>4</v>
      </c>
      <c r="V34" s="2">
        <f t="shared" si="7"/>
        <v>4</v>
      </c>
      <c r="W34" s="2">
        <f t="shared" si="8"/>
        <v>4</v>
      </c>
      <c r="X34" s="2">
        <f t="shared" si="9"/>
        <v>4</v>
      </c>
      <c r="Y34" s="2">
        <f t="shared" si="10"/>
        <v>3.9999999999999982</v>
      </c>
      <c r="Z34" s="2">
        <f t="shared" si="11"/>
        <v>4</v>
      </c>
      <c r="AB34" s="12">
        <f t="shared" si="12"/>
        <v>0.53749999999999998</v>
      </c>
      <c r="AD34" s="13">
        <f>IFERROR(macrs($D$3,$D$4,$AF34,$T34,TRUE),1)</f>
        <v>1</v>
      </c>
      <c r="AF34" s="7">
        <v>0</v>
      </c>
    </row>
    <row r="35" spans="2:32" x14ac:dyDescent="0.25">
      <c r="B35" s="6">
        <v>23</v>
      </c>
      <c r="C35" s="8">
        <v>4</v>
      </c>
      <c r="D35" s="2">
        <f t="shared" si="16"/>
        <v>4</v>
      </c>
      <c r="E35" s="2">
        <f t="shared" si="16"/>
        <v>4</v>
      </c>
      <c r="F35" s="2">
        <f t="shared" si="16"/>
        <v>4</v>
      </c>
      <c r="G35" s="2">
        <f t="shared" si="16"/>
        <v>4</v>
      </c>
      <c r="H35" s="2">
        <f t="shared" si="16"/>
        <v>3.9999999999999982</v>
      </c>
      <c r="K35" s="6">
        <v>23</v>
      </c>
      <c r="L35" s="2">
        <f t="shared" si="0"/>
        <v>2.25</v>
      </c>
      <c r="M35" s="2">
        <f t="shared" si="1"/>
        <v>2.25</v>
      </c>
      <c r="N35" s="2">
        <f t="shared" si="2"/>
        <v>2.25</v>
      </c>
      <c r="O35" s="2">
        <f t="shared" si="3"/>
        <v>2.25</v>
      </c>
      <c r="P35" s="2">
        <f t="shared" si="4"/>
        <v>2.25</v>
      </c>
      <c r="Q35" s="2">
        <f t="shared" si="5"/>
        <v>2.2499999999999991</v>
      </c>
      <c r="T35" s="6">
        <v>23</v>
      </c>
      <c r="U35" s="2">
        <f t="shared" si="6"/>
        <v>4</v>
      </c>
      <c r="V35" s="2">
        <f t="shared" si="7"/>
        <v>4</v>
      </c>
      <c r="W35" s="2">
        <f t="shared" si="8"/>
        <v>4</v>
      </c>
      <c r="X35" s="2">
        <f t="shared" si="9"/>
        <v>4</v>
      </c>
      <c r="Y35" s="2">
        <f t="shared" si="10"/>
        <v>4</v>
      </c>
      <c r="Z35" s="2">
        <f t="shared" si="11"/>
        <v>3.9999999999999982</v>
      </c>
      <c r="AB35" s="12">
        <f t="shared" si="12"/>
        <v>0.5625</v>
      </c>
      <c r="AD35" s="13">
        <f>IFERROR(macrs($D$3,$D$4,$AF35,$T35,TRUE),1)</f>
        <v>1</v>
      </c>
      <c r="AF35" s="7">
        <v>0</v>
      </c>
    </row>
    <row r="36" spans="2:32" x14ac:dyDescent="0.25">
      <c r="B36" s="6">
        <v>24</v>
      </c>
      <c r="C36" s="8">
        <v>4</v>
      </c>
      <c r="D36" s="2">
        <f t="shared" si="16"/>
        <v>4</v>
      </c>
      <c r="E36" s="2">
        <f t="shared" si="16"/>
        <v>4</v>
      </c>
      <c r="F36" s="2">
        <f t="shared" si="16"/>
        <v>4</v>
      </c>
      <c r="G36" s="2">
        <f t="shared" si="16"/>
        <v>4</v>
      </c>
      <c r="H36" s="2">
        <f t="shared" si="16"/>
        <v>4</v>
      </c>
      <c r="K36" s="6">
        <v>24</v>
      </c>
      <c r="L36" s="2">
        <f t="shared" si="0"/>
        <v>2.35</v>
      </c>
      <c r="M36" s="2">
        <f t="shared" si="1"/>
        <v>2.35</v>
      </c>
      <c r="N36" s="2">
        <f t="shared" si="2"/>
        <v>2.35</v>
      </c>
      <c r="O36" s="2">
        <f t="shared" si="3"/>
        <v>2.35</v>
      </c>
      <c r="P36" s="2">
        <f t="shared" si="4"/>
        <v>2.35</v>
      </c>
      <c r="Q36" s="2">
        <f t="shared" si="5"/>
        <v>2.35</v>
      </c>
      <c r="T36" s="6">
        <v>24</v>
      </c>
      <c r="U36" s="2">
        <f t="shared" si="6"/>
        <v>4</v>
      </c>
      <c r="V36" s="2">
        <f t="shared" si="7"/>
        <v>4</v>
      </c>
      <c r="W36" s="2">
        <f t="shared" si="8"/>
        <v>4</v>
      </c>
      <c r="X36" s="2">
        <f t="shared" si="9"/>
        <v>4</v>
      </c>
      <c r="Y36" s="2">
        <f t="shared" si="10"/>
        <v>4</v>
      </c>
      <c r="Z36" s="2">
        <f t="shared" si="11"/>
        <v>4</v>
      </c>
      <c r="AB36" s="12">
        <f t="shared" si="12"/>
        <v>0.58750000000000002</v>
      </c>
      <c r="AD36" s="13">
        <f>IFERROR(macrs($D$3,$D$4,$AF36,$T36,TRUE),1)</f>
        <v>1</v>
      </c>
      <c r="AF36" s="7">
        <v>0</v>
      </c>
    </row>
    <row r="37" spans="2:32" x14ac:dyDescent="0.25">
      <c r="B37" s="6">
        <v>25</v>
      </c>
      <c r="C37" s="8">
        <v>4</v>
      </c>
      <c r="D37" s="2">
        <f t="shared" si="16"/>
        <v>4</v>
      </c>
      <c r="E37" s="2">
        <f t="shared" si="16"/>
        <v>4</v>
      </c>
      <c r="F37" s="2">
        <f t="shared" si="16"/>
        <v>4</v>
      </c>
      <c r="G37" s="2">
        <f t="shared" si="16"/>
        <v>4</v>
      </c>
      <c r="H37" s="2">
        <f t="shared" si="16"/>
        <v>4</v>
      </c>
      <c r="K37" s="6">
        <v>25</v>
      </c>
      <c r="L37" s="2">
        <f t="shared" si="0"/>
        <v>2.4500000000000002</v>
      </c>
      <c r="M37" s="2">
        <f t="shared" si="1"/>
        <v>2.4500000000000002</v>
      </c>
      <c r="N37" s="2">
        <f t="shared" si="2"/>
        <v>2.4500000000000002</v>
      </c>
      <c r="O37" s="2">
        <f t="shared" si="3"/>
        <v>2.4500000000000002</v>
      </c>
      <c r="P37" s="2">
        <f t="shared" si="4"/>
        <v>2.4500000000000002</v>
      </c>
      <c r="Q37" s="2">
        <f t="shared" si="5"/>
        <v>2.4500000000000002</v>
      </c>
      <c r="T37" s="6">
        <v>25</v>
      </c>
      <c r="U37" s="2">
        <f t="shared" si="6"/>
        <v>4</v>
      </c>
      <c r="V37" s="2">
        <f t="shared" si="7"/>
        <v>4</v>
      </c>
      <c r="W37" s="2">
        <f t="shared" si="8"/>
        <v>4</v>
      </c>
      <c r="X37" s="2">
        <f t="shared" si="9"/>
        <v>4</v>
      </c>
      <c r="Y37" s="2">
        <f t="shared" si="10"/>
        <v>4</v>
      </c>
      <c r="Z37" s="2">
        <f t="shared" si="11"/>
        <v>4</v>
      </c>
      <c r="AB37" s="12">
        <f t="shared" si="12"/>
        <v>0.61250000000000004</v>
      </c>
      <c r="AD37" s="13">
        <f>IFERROR(macrs($D$3,$D$4,$AF37,$T37,TRUE),1)</f>
        <v>1</v>
      </c>
      <c r="AF37" s="7">
        <v>0</v>
      </c>
    </row>
    <row r="38" spans="2:32" x14ac:dyDescent="0.25">
      <c r="B38" s="6">
        <v>26</v>
      </c>
      <c r="C38" s="8">
        <v>4</v>
      </c>
      <c r="D38" s="2">
        <f t="shared" si="16"/>
        <v>4</v>
      </c>
      <c r="E38" s="2">
        <f t="shared" si="16"/>
        <v>4</v>
      </c>
      <c r="F38" s="2">
        <f t="shared" si="16"/>
        <v>4</v>
      </c>
      <c r="G38" s="2">
        <f t="shared" si="16"/>
        <v>4</v>
      </c>
      <c r="H38" s="2">
        <f t="shared" si="16"/>
        <v>4</v>
      </c>
      <c r="K38" s="6">
        <v>26</v>
      </c>
      <c r="L38" s="2">
        <f t="shared" si="0"/>
        <v>2.5499999999999998</v>
      </c>
      <c r="M38" s="2">
        <f t="shared" si="1"/>
        <v>2.5499999999999998</v>
      </c>
      <c r="N38" s="2">
        <f t="shared" si="2"/>
        <v>2.5499999999999998</v>
      </c>
      <c r="O38" s="2">
        <f t="shared" si="3"/>
        <v>2.5499999999999998</v>
      </c>
      <c r="P38" s="2">
        <f t="shared" si="4"/>
        <v>2.5499999999999998</v>
      </c>
      <c r="Q38" s="2">
        <f t="shared" si="5"/>
        <v>2.5499999999999998</v>
      </c>
      <c r="T38" s="6">
        <v>26</v>
      </c>
      <c r="U38" s="2">
        <f t="shared" si="6"/>
        <v>4</v>
      </c>
      <c r="V38" s="2">
        <f t="shared" si="7"/>
        <v>4</v>
      </c>
      <c r="W38" s="2">
        <f t="shared" si="8"/>
        <v>4</v>
      </c>
      <c r="X38" s="2">
        <f t="shared" si="9"/>
        <v>4</v>
      </c>
      <c r="Y38" s="2">
        <f t="shared" si="10"/>
        <v>4</v>
      </c>
      <c r="Z38" s="2">
        <f t="shared" si="11"/>
        <v>4</v>
      </c>
      <c r="AB38" s="12">
        <f t="shared" si="12"/>
        <v>0.63749999999999996</v>
      </c>
      <c r="AD38" s="13">
        <f>IFERROR(macrs($D$3,$D$4,$AF38,$T38,TRUE),1)</f>
        <v>1</v>
      </c>
      <c r="AF38" s="7">
        <v>0</v>
      </c>
    </row>
    <row r="39" spans="2:32" x14ac:dyDescent="0.25">
      <c r="B39" s="6">
        <v>27</v>
      </c>
      <c r="C39" s="8">
        <v>4</v>
      </c>
      <c r="D39" s="2">
        <f t="shared" si="16"/>
        <v>4</v>
      </c>
      <c r="E39" s="2">
        <f t="shared" si="16"/>
        <v>4</v>
      </c>
      <c r="F39" s="2">
        <f t="shared" si="16"/>
        <v>4</v>
      </c>
      <c r="G39" s="2">
        <f t="shared" si="16"/>
        <v>4</v>
      </c>
      <c r="H39" s="2">
        <f t="shared" si="16"/>
        <v>4</v>
      </c>
      <c r="K39" s="6">
        <v>27</v>
      </c>
      <c r="L39" s="2">
        <f t="shared" si="0"/>
        <v>2.65</v>
      </c>
      <c r="M39" s="2">
        <f t="shared" si="1"/>
        <v>2.65</v>
      </c>
      <c r="N39" s="2">
        <f t="shared" si="2"/>
        <v>2.65</v>
      </c>
      <c r="O39" s="2">
        <f t="shared" si="3"/>
        <v>2.65</v>
      </c>
      <c r="P39" s="2">
        <f t="shared" si="4"/>
        <v>2.65</v>
      </c>
      <c r="Q39" s="2">
        <f t="shared" si="5"/>
        <v>2.65</v>
      </c>
      <c r="T39" s="6">
        <v>27</v>
      </c>
      <c r="U39" s="2">
        <f t="shared" si="6"/>
        <v>4</v>
      </c>
      <c r="V39" s="2">
        <f t="shared" si="7"/>
        <v>4</v>
      </c>
      <c r="W39" s="2">
        <f t="shared" si="8"/>
        <v>4</v>
      </c>
      <c r="X39" s="2">
        <f t="shared" si="9"/>
        <v>4</v>
      </c>
      <c r="Y39" s="2">
        <f t="shared" si="10"/>
        <v>4</v>
      </c>
      <c r="Z39" s="2">
        <f t="shared" si="11"/>
        <v>4</v>
      </c>
      <c r="AB39" s="12">
        <f t="shared" si="12"/>
        <v>0.66249999999999998</v>
      </c>
      <c r="AD39" s="13">
        <f>IFERROR(macrs($D$3,$D$4,$AF39,$T39,TRUE),1)</f>
        <v>1</v>
      </c>
      <c r="AF39" s="7">
        <v>0</v>
      </c>
    </row>
    <row r="40" spans="2:32" x14ac:dyDescent="0.25">
      <c r="B40" s="6">
        <v>28</v>
      </c>
      <c r="C40" s="8">
        <v>4</v>
      </c>
      <c r="D40" s="2">
        <f t="shared" si="16"/>
        <v>4</v>
      </c>
      <c r="E40" s="2">
        <f t="shared" si="16"/>
        <v>4</v>
      </c>
      <c r="F40" s="2">
        <f t="shared" si="16"/>
        <v>4</v>
      </c>
      <c r="G40" s="2">
        <f t="shared" si="16"/>
        <v>4</v>
      </c>
      <c r="H40" s="2">
        <f t="shared" si="16"/>
        <v>4</v>
      </c>
      <c r="K40" s="6">
        <v>28</v>
      </c>
      <c r="L40" s="2">
        <f t="shared" si="0"/>
        <v>2.75</v>
      </c>
      <c r="M40" s="2">
        <f t="shared" si="1"/>
        <v>2.75</v>
      </c>
      <c r="N40" s="2">
        <f t="shared" si="2"/>
        <v>2.75</v>
      </c>
      <c r="O40" s="2">
        <f t="shared" si="3"/>
        <v>2.75</v>
      </c>
      <c r="P40" s="2">
        <f t="shared" si="4"/>
        <v>2.75</v>
      </c>
      <c r="Q40" s="2">
        <f t="shared" si="5"/>
        <v>2.75</v>
      </c>
      <c r="T40" s="6">
        <v>28</v>
      </c>
      <c r="U40" s="2">
        <f t="shared" si="6"/>
        <v>4</v>
      </c>
      <c r="V40" s="2">
        <f t="shared" si="7"/>
        <v>4</v>
      </c>
      <c r="W40" s="2">
        <f t="shared" si="8"/>
        <v>4</v>
      </c>
      <c r="X40" s="2">
        <f t="shared" si="9"/>
        <v>4</v>
      </c>
      <c r="Y40" s="2">
        <f t="shared" si="10"/>
        <v>4</v>
      </c>
      <c r="Z40" s="2">
        <f t="shared" si="11"/>
        <v>4</v>
      </c>
      <c r="AB40" s="12">
        <f t="shared" si="12"/>
        <v>0.6875</v>
      </c>
      <c r="AD40" s="13">
        <f>IFERROR(macrs($D$3,$D$4,$AF40,$T40,TRUE),1)</f>
        <v>1</v>
      </c>
      <c r="AF40" s="7">
        <v>0</v>
      </c>
    </row>
    <row r="41" spans="2:32" x14ac:dyDescent="0.25">
      <c r="B41" s="6">
        <v>29</v>
      </c>
      <c r="C41" s="8">
        <v>3.9999999999999991</v>
      </c>
      <c r="D41" s="2">
        <f t="shared" si="16"/>
        <v>4</v>
      </c>
      <c r="E41" s="2">
        <f t="shared" si="16"/>
        <v>4</v>
      </c>
      <c r="F41" s="2">
        <f t="shared" si="16"/>
        <v>4</v>
      </c>
      <c r="G41" s="2">
        <f t="shared" si="16"/>
        <v>4</v>
      </c>
      <c r="H41" s="2">
        <f t="shared" si="16"/>
        <v>4</v>
      </c>
      <c r="K41" s="6">
        <v>29</v>
      </c>
      <c r="L41" s="2">
        <f t="shared" si="0"/>
        <v>2.8499999999999996</v>
      </c>
      <c r="M41" s="2">
        <f t="shared" si="1"/>
        <v>2.85</v>
      </c>
      <c r="N41" s="2">
        <f t="shared" si="2"/>
        <v>2.85</v>
      </c>
      <c r="O41" s="2">
        <f t="shared" si="3"/>
        <v>2.85</v>
      </c>
      <c r="P41" s="2">
        <f t="shared" si="4"/>
        <v>2.85</v>
      </c>
      <c r="Q41" s="2">
        <f t="shared" si="5"/>
        <v>2.85</v>
      </c>
      <c r="T41" s="6">
        <v>29</v>
      </c>
      <c r="U41" s="2">
        <f t="shared" si="6"/>
        <v>3.9999999999999991</v>
      </c>
      <c r="V41" s="2">
        <f t="shared" si="7"/>
        <v>4</v>
      </c>
      <c r="W41" s="2">
        <f t="shared" si="8"/>
        <v>4</v>
      </c>
      <c r="X41" s="2">
        <f t="shared" si="9"/>
        <v>4</v>
      </c>
      <c r="Y41" s="2">
        <f t="shared" si="10"/>
        <v>4</v>
      </c>
      <c r="Z41" s="2">
        <f t="shared" si="11"/>
        <v>4</v>
      </c>
      <c r="AB41" s="12">
        <f t="shared" si="12"/>
        <v>0.71250000000000002</v>
      </c>
      <c r="AD41" s="13">
        <f>IFERROR(macrs($D$3,$D$4,$AF41,$T41,TRUE),1)</f>
        <v>1</v>
      </c>
      <c r="AF41" s="7">
        <v>0</v>
      </c>
    </row>
    <row r="42" spans="2:32" x14ac:dyDescent="0.25">
      <c r="B42" s="6">
        <v>30</v>
      </c>
      <c r="C42" s="8">
        <v>4</v>
      </c>
      <c r="D42" s="2">
        <f t="shared" si="16"/>
        <v>3.9999999999999991</v>
      </c>
      <c r="E42" s="2">
        <f t="shared" si="16"/>
        <v>4</v>
      </c>
      <c r="F42" s="2">
        <f t="shared" si="16"/>
        <v>4</v>
      </c>
      <c r="G42" s="2">
        <f t="shared" si="16"/>
        <v>4</v>
      </c>
      <c r="H42" s="2">
        <f t="shared" si="16"/>
        <v>4</v>
      </c>
      <c r="K42" s="6">
        <v>30</v>
      </c>
      <c r="L42" s="2">
        <f t="shared" si="0"/>
        <v>2.95</v>
      </c>
      <c r="M42" s="2">
        <f t="shared" si="1"/>
        <v>2.9499999999999997</v>
      </c>
      <c r="N42" s="2">
        <f t="shared" si="2"/>
        <v>2.95</v>
      </c>
      <c r="O42" s="2">
        <f t="shared" si="3"/>
        <v>2.95</v>
      </c>
      <c r="P42" s="2">
        <f t="shared" si="4"/>
        <v>2.95</v>
      </c>
      <c r="Q42" s="2">
        <f t="shared" si="5"/>
        <v>2.95</v>
      </c>
      <c r="T42" s="6">
        <v>30</v>
      </c>
      <c r="U42" s="2">
        <f t="shared" si="6"/>
        <v>4</v>
      </c>
      <c r="V42" s="2">
        <f t="shared" si="7"/>
        <v>3.9999999999999991</v>
      </c>
      <c r="W42" s="2">
        <f t="shared" si="8"/>
        <v>4</v>
      </c>
      <c r="X42" s="2">
        <f t="shared" si="9"/>
        <v>4</v>
      </c>
      <c r="Y42" s="2">
        <f t="shared" si="10"/>
        <v>4</v>
      </c>
      <c r="Z42" s="2">
        <f t="shared" si="11"/>
        <v>4</v>
      </c>
      <c r="AB42" s="12">
        <f t="shared" si="12"/>
        <v>0.73750000000000004</v>
      </c>
      <c r="AD42" s="13">
        <f>IFERROR(macrs($D$3,$D$4,$AF42,$T42,TRUE),1)</f>
        <v>1</v>
      </c>
      <c r="AF42" s="7">
        <v>0</v>
      </c>
    </row>
    <row r="43" spans="2:32" x14ac:dyDescent="0.25">
      <c r="B43" s="6">
        <v>31</v>
      </c>
      <c r="C43" s="8">
        <v>4</v>
      </c>
      <c r="D43" s="2">
        <f t="shared" si="16"/>
        <v>4</v>
      </c>
      <c r="E43" s="2">
        <f t="shared" si="16"/>
        <v>3.9999999999999991</v>
      </c>
      <c r="F43" s="2">
        <f t="shared" si="16"/>
        <v>4</v>
      </c>
      <c r="G43" s="2">
        <f t="shared" si="16"/>
        <v>4</v>
      </c>
      <c r="H43" s="2">
        <f t="shared" si="16"/>
        <v>4</v>
      </c>
      <c r="K43" s="6">
        <v>31</v>
      </c>
      <c r="L43" s="2">
        <f t="shared" si="0"/>
        <v>3.05</v>
      </c>
      <c r="M43" s="2">
        <f t="shared" si="1"/>
        <v>3.05</v>
      </c>
      <c r="N43" s="2">
        <f t="shared" si="2"/>
        <v>3.0499999999999989</v>
      </c>
      <c r="O43" s="2">
        <f t="shared" si="3"/>
        <v>3.05</v>
      </c>
      <c r="P43" s="2">
        <f t="shared" si="4"/>
        <v>3.05</v>
      </c>
      <c r="Q43" s="2">
        <f t="shared" si="5"/>
        <v>3.05</v>
      </c>
      <c r="T43" s="6">
        <v>31</v>
      </c>
      <c r="U43" s="2">
        <f t="shared" si="6"/>
        <v>4</v>
      </c>
      <c r="V43" s="2">
        <f t="shared" si="7"/>
        <v>4</v>
      </c>
      <c r="W43" s="2">
        <f t="shared" si="8"/>
        <v>3.9999999999999991</v>
      </c>
      <c r="X43" s="2">
        <f t="shared" si="9"/>
        <v>4</v>
      </c>
      <c r="Y43" s="2">
        <f t="shared" si="10"/>
        <v>4</v>
      </c>
      <c r="Z43" s="2">
        <f t="shared" si="11"/>
        <v>4</v>
      </c>
      <c r="AB43" s="12">
        <f t="shared" si="12"/>
        <v>0.76249999999999996</v>
      </c>
      <c r="AD43" s="13">
        <f>IFERROR(macrs($D$3,$D$4,$AF43,$T43,TRUE),1)</f>
        <v>1</v>
      </c>
      <c r="AF43" s="7">
        <v>0</v>
      </c>
    </row>
    <row r="44" spans="2:32" x14ac:dyDescent="0.25">
      <c r="B44" s="6">
        <v>32</v>
      </c>
      <c r="C44" s="8">
        <v>4</v>
      </c>
      <c r="D44" s="2">
        <f t="shared" si="16"/>
        <v>4</v>
      </c>
      <c r="E44" s="2">
        <f t="shared" si="16"/>
        <v>4</v>
      </c>
      <c r="F44" s="2">
        <f t="shared" si="16"/>
        <v>3.9999999999999991</v>
      </c>
      <c r="G44" s="2">
        <f t="shared" si="16"/>
        <v>4</v>
      </c>
      <c r="H44" s="2">
        <f t="shared" si="16"/>
        <v>4</v>
      </c>
      <c r="K44" s="6">
        <v>32</v>
      </c>
      <c r="L44" s="2">
        <f t="shared" si="0"/>
        <v>3.15</v>
      </c>
      <c r="M44" s="2">
        <f t="shared" si="1"/>
        <v>3.15</v>
      </c>
      <c r="N44" s="2">
        <f t="shared" si="2"/>
        <v>3.15</v>
      </c>
      <c r="O44" s="2">
        <f t="shared" si="3"/>
        <v>3.149999999999999</v>
      </c>
      <c r="P44" s="2">
        <f t="shared" si="4"/>
        <v>3.15</v>
      </c>
      <c r="Q44" s="2">
        <f t="shared" si="5"/>
        <v>3.15</v>
      </c>
      <c r="T44" s="6">
        <v>32</v>
      </c>
      <c r="U44" s="2">
        <f t="shared" si="6"/>
        <v>4</v>
      </c>
      <c r="V44" s="2">
        <f t="shared" si="7"/>
        <v>4</v>
      </c>
      <c r="W44" s="2">
        <f t="shared" si="8"/>
        <v>4</v>
      </c>
      <c r="X44" s="2">
        <f t="shared" si="9"/>
        <v>3.9999999999999991</v>
      </c>
      <c r="Y44" s="2">
        <f t="shared" si="10"/>
        <v>4</v>
      </c>
      <c r="Z44" s="2">
        <f t="shared" si="11"/>
        <v>4</v>
      </c>
      <c r="AB44" s="12">
        <f t="shared" si="12"/>
        <v>0.78749999999999998</v>
      </c>
      <c r="AD44" s="13">
        <f>IFERROR(macrs($D$3,$D$4,$AF44,$T44,TRUE),1)</f>
        <v>1</v>
      </c>
      <c r="AF44" s="7">
        <v>0</v>
      </c>
    </row>
    <row r="45" spans="2:32" x14ac:dyDescent="0.25">
      <c r="B45" s="6">
        <v>33</v>
      </c>
      <c r="C45" s="8">
        <v>4.0066563106735833</v>
      </c>
      <c r="D45" s="2">
        <f t="shared" si="16"/>
        <v>4</v>
      </c>
      <c r="E45" s="2">
        <f t="shared" si="16"/>
        <v>4</v>
      </c>
      <c r="F45" s="2">
        <f t="shared" si="16"/>
        <v>4</v>
      </c>
      <c r="G45" s="2">
        <f t="shared" si="16"/>
        <v>3.9999999999999991</v>
      </c>
      <c r="H45" s="2">
        <f t="shared" si="16"/>
        <v>4</v>
      </c>
      <c r="K45" s="6">
        <v>33</v>
      </c>
      <c r="L45" s="2">
        <f t="shared" si="0"/>
        <v>3.2554082524222863</v>
      </c>
      <c r="M45" s="2">
        <f t="shared" si="1"/>
        <v>3.25</v>
      </c>
      <c r="N45" s="2">
        <f t="shared" si="2"/>
        <v>3.25</v>
      </c>
      <c r="O45" s="2">
        <f t="shared" si="3"/>
        <v>3.25</v>
      </c>
      <c r="P45" s="2">
        <f t="shared" si="4"/>
        <v>3.2499999999999991</v>
      </c>
      <c r="Q45" s="2">
        <f t="shared" si="5"/>
        <v>3.25</v>
      </c>
      <c r="T45" s="6">
        <v>33</v>
      </c>
      <c r="U45" s="2">
        <f t="shared" si="6"/>
        <v>4.0066563106735833</v>
      </c>
      <c r="V45" s="2">
        <f t="shared" si="7"/>
        <v>4</v>
      </c>
      <c r="W45" s="2">
        <f t="shared" si="8"/>
        <v>4</v>
      </c>
      <c r="X45" s="2">
        <f t="shared" si="9"/>
        <v>4</v>
      </c>
      <c r="Y45" s="2">
        <f t="shared" si="10"/>
        <v>3.9999999999999991</v>
      </c>
      <c r="Z45" s="2">
        <f t="shared" si="11"/>
        <v>4</v>
      </c>
      <c r="AB45" s="12">
        <f t="shared" si="12"/>
        <v>0.8125</v>
      </c>
      <c r="AD45" s="13">
        <f>IFERROR(macrs($D$3,$D$4,$AF45,$T45,TRUE),1)</f>
        <v>1</v>
      </c>
      <c r="AF45" s="7">
        <v>0</v>
      </c>
    </row>
    <row r="46" spans="2:32" x14ac:dyDescent="0.25">
      <c r="B46" s="6">
        <v>34</v>
      </c>
      <c r="C46" s="8">
        <v>7.6366768704107377</v>
      </c>
      <c r="D46" s="2">
        <f t="shared" si="16"/>
        <v>4.0066563106735833</v>
      </c>
      <c r="E46" s="2">
        <f t="shared" si="16"/>
        <v>4</v>
      </c>
      <c r="F46" s="2">
        <f t="shared" si="16"/>
        <v>4</v>
      </c>
      <c r="G46" s="2">
        <f t="shared" si="16"/>
        <v>4</v>
      </c>
      <c r="H46" s="2">
        <f t="shared" si="16"/>
        <v>3.9999999999999991</v>
      </c>
      <c r="K46" s="6">
        <v>34</v>
      </c>
      <c r="L46" s="2">
        <f t="shared" si="0"/>
        <v>6.3957168789689929</v>
      </c>
      <c r="M46" s="2">
        <f t="shared" si="1"/>
        <v>3.3555746601891263</v>
      </c>
      <c r="N46" s="2">
        <f t="shared" si="2"/>
        <v>3.35</v>
      </c>
      <c r="O46" s="2">
        <f t="shared" si="3"/>
        <v>3.35</v>
      </c>
      <c r="P46" s="2">
        <f t="shared" si="4"/>
        <v>3.35</v>
      </c>
      <c r="Q46" s="2">
        <f t="shared" si="5"/>
        <v>3.3499999999999992</v>
      </c>
      <c r="T46" s="6">
        <v>34</v>
      </c>
      <c r="U46" s="2">
        <f t="shared" si="6"/>
        <v>7.6366768704107377</v>
      </c>
      <c r="V46" s="2">
        <f t="shared" si="7"/>
        <v>4.0066563106735833</v>
      </c>
      <c r="W46" s="2">
        <f t="shared" si="8"/>
        <v>4</v>
      </c>
      <c r="X46" s="2">
        <f t="shared" si="9"/>
        <v>4</v>
      </c>
      <c r="Y46" s="2">
        <f t="shared" si="10"/>
        <v>4</v>
      </c>
      <c r="Z46" s="2">
        <f t="shared" si="11"/>
        <v>3.9999999999999991</v>
      </c>
      <c r="AB46" s="12">
        <f t="shared" si="12"/>
        <v>0.83750000000000002</v>
      </c>
      <c r="AD46" s="13">
        <f>IFERROR(macrs($D$3,$D$4,$AF46,$T46,TRUE),1)</f>
        <v>1</v>
      </c>
      <c r="AF46" s="7">
        <v>0</v>
      </c>
    </row>
    <row r="47" spans="2:32" x14ac:dyDescent="0.25">
      <c r="B47" s="6">
        <v>35</v>
      </c>
      <c r="C47" s="8">
        <v>11.266695869140905</v>
      </c>
      <c r="D47" s="2">
        <f t="shared" si="16"/>
        <v>7.6366768704107377</v>
      </c>
      <c r="E47" s="2">
        <f t="shared" si="16"/>
        <v>4.0066563106735833</v>
      </c>
      <c r="F47" s="2">
        <f t="shared" si="16"/>
        <v>4</v>
      </c>
      <c r="G47" s="2">
        <f t="shared" si="16"/>
        <v>4</v>
      </c>
      <c r="H47" s="2">
        <f t="shared" si="16"/>
        <v>4</v>
      </c>
      <c r="K47" s="6">
        <v>35</v>
      </c>
      <c r="L47" s="2">
        <f t="shared" si="0"/>
        <v>9.7175251871340311</v>
      </c>
      <c r="M47" s="2">
        <f t="shared" si="1"/>
        <v>6.5866338007292615</v>
      </c>
      <c r="N47" s="2">
        <f t="shared" si="2"/>
        <v>3.4557410679559659</v>
      </c>
      <c r="O47" s="2">
        <f t="shared" si="3"/>
        <v>3.45</v>
      </c>
      <c r="P47" s="2">
        <f t="shared" si="4"/>
        <v>3.45</v>
      </c>
      <c r="Q47" s="2">
        <f t="shared" si="5"/>
        <v>3.45</v>
      </c>
      <c r="T47" s="6">
        <v>35</v>
      </c>
      <c r="U47" s="2">
        <f t="shared" si="6"/>
        <v>11.266695869140905</v>
      </c>
      <c r="V47" s="2">
        <f t="shared" si="7"/>
        <v>7.6366768704107377</v>
      </c>
      <c r="W47" s="2">
        <f t="shared" si="8"/>
        <v>4.0066563106735833</v>
      </c>
      <c r="X47" s="2">
        <f t="shared" si="9"/>
        <v>4</v>
      </c>
      <c r="Y47" s="2">
        <f t="shared" si="10"/>
        <v>4</v>
      </c>
      <c r="Z47" s="2">
        <f t="shared" si="11"/>
        <v>4</v>
      </c>
      <c r="AB47" s="12">
        <f t="shared" si="12"/>
        <v>0.86250000000000004</v>
      </c>
      <c r="AD47" s="13">
        <f>IFERROR(macrs($D$3,$D$4,$AF47,$T47,TRUE),1)</f>
        <v>1</v>
      </c>
      <c r="AF47" s="7">
        <v>0</v>
      </c>
    </row>
    <row r="48" spans="2:32" x14ac:dyDescent="0.25">
      <c r="B48" s="6">
        <v>36</v>
      </c>
      <c r="C48" s="8">
        <v>14.896715332998454</v>
      </c>
      <c r="D48" s="2">
        <f t="shared" si="16"/>
        <v>11.266695869140905</v>
      </c>
      <c r="E48" s="2">
        <f t="shared" si="16"/>
        <v>7.6366768704107377</v>
      </c>
      <c r="F48" s="2">
        <f t="shared" si="16"/>
        <v>4.0066563106735833</v>
      </c>
      <c r="G48" s="2">
        <f t="shared" si="16"/>
        <v>4</v>
      </c>
      <c r="H48" s="2">
        <f t="shared" si="16"/>
        <v>4</v>
      </c>
      <c r="K48" s="6">
        <v>36</v>
      </c>
      <c r="L48" s="2">
        <f t="shared" si="0"/>
        <v>13.220834858036127</v>
      </c>
      <c r="M48" s="2">
        <f t="shared" si="1"/>
        <v>9.9991925838625537</v>
      </c>
      <c r="N48" s="2">
        <f t="shared" si="2"/>
        <v>6.7775507224895293</v>
      </c>
      <c r="O48" s="2">
        <f t="shared" si="3"/>
        <v>3.5559074757228051</v>
      </c>
      <c r="P48" s="2">
        <f t="shared" si="4"/>
        <v>3.55</v>
      </c>
      <c r="Q48" s="2">
        <f t="shared" si="5"/>
        <v>3.55</v>
      </c>
      <c r="T48" s="6">
        <v>36</v>
      </c>
      <c r="U48" s="2">
        <f t="shared" si="6"/>
        <v>14.896715332998454</v>
      </c>
      <c r="V48" s="2">
        <f t="shared" si="7"/>
        <v>11.266695869140905</v>
      </c>
      <c r="W48" s="2">
        <f t="shared" si="8"/>
        <v>7.6366768704107377</v>
      </c>
      <c r="X48" s="2">
        <f t="shared" si="9"/>
        <v>4.0066563106735833</v>
      </c>
      <c r="Y48" s="2">
        <f t="shared" si="10"/>
        <v>4</v>
      </c>
      <c r="Z48" s="2">
        <f t="shared" si="11"/>
        <v>4</v>
      </c>
      <c r="AB48" s="12">
        <f t="shared" si="12"/>
        <v>0.88749999999999996</v>
      </c>
      <c r="AD48" s="13">
        <f>IFERROR(macrs($D$3,$D$4,$AF48,$T48,TRUE),1)</f>
        <v>1</v>
      </c>
      <c r="AF48" s="7">
        <v>0</v>
      </c>
    </row>
    <row r="49" spans="2:32" x14ac:dyDescent="0.25">
      <c r="B49" s="6">
        <v>37</v>
      </c>
      <c r="C49" s="8">
        <v>18.526733975222605</v>
      </c>
      <c r="D49" s="2">
        <f t="shared" si="16"/>
        <v>14.896715332998454</v>
      </c>
      <c r="E49" s="2">
        <f t="shared" si="16"/>
        <v>11.266695869140905</v>
      </c>
      <c r="F49" s="2">
        <f t="shared" si="16"/>
        <v>7.6366768704107377</v>
      </c>
      <c r="G49" s="2">
        <f t="shared" si="16"/>
        <v>4.0066563106735833</v>
      </c>
      <c r="H49" s="2">
        <f t="shared" si="16"/>
        <v>4</v>
      </c>
      <c r="K49" s="6">
        <v>37</v>
      </c>
      <c r="L49" s="2">
        <f t="shared" si="0"/>
        <v>16.905644752390625</v>
      </c>
      <c r="M49" s="2">
        <f t="shared" si="1"/>
        <v>13.59325274136109</v>
      </c>
      <c r="N49" s="2">
        <f t="shared" si="2"/>
        <v>10.280859980591076</v>
      </c>
      <c r="O49" s="2">
        <f t="shared" si="3"/>
        <v>6.9684676442497979</v>
      </c>
      <c r="P49" s="2">
        <f t="shared" si="4"/>
        <v>3.6560738834896447</v>
      </c>
      <c r="Q49" s="2">
        <f t="shared" si="5"/>
        <v>3.65</v>
      </c>
      <c r="T49" s="6">
        <v>37</v>
      </c>
      <c r="U49" s="2">
        <f t="shared" si="6"/>
        <v>18.526733975222605</v>
      </c>
      <c r="V49" s="2">
        <f t="shared" si="7"/>
        <v>14.896715332998454</v>
      </c>
      <c r="W49" s="2">
        <f t="shared" si="8"/>
        <v>11.266695869140905</v>
      </c>
      <c r="X49" s="2">
        <f t="shared" si="9"/>
        <v>7.6366768704107377</v>
      </c>
      <c r="Y49" s="2">
        <f t="shared" si="10"/>
        <v>4.0066563106735833</v>
      </c>
      <c r="Z49" s="2">
        <f t="shared" si="11"/>
        <v>4</v>
      </c>
      <c r="AB49" s="12">
        <f t="shared" si="12"/>
        <v>0.91249999999999998</v>
      </c>
      <c r="AD49" s="13">
        <f>IFERROR(macrs($D$3,$D$4,$AF49,$T49,TRUE),1)</f>
        <v>1</v>
      </c>
      <c r="AF49" s="7">
        <v>0</v>
      </c>
    </row>
    <row r="50" spans="2:32" x14ac:dyDescent="0.25">
      <c r="B50" s="6">
        <v>38</v>
      </c>
      <c r="C50" s="8">
        <v>22.156751305101011</v>
      </c>
      <c r="D50" s="2">
        <f t="shared" si="16"/>
        <v>18.526733975222605</v>
      </c>
      <c r="E50" s="2">
        <f t="shared" si="16"/>
        <v>14.896715332998454</v>
      </c>
      <c r="F50" s="2">
        <f t="shared" si="16"/>
        <v>11.266695869140905</v>
      </c>
      <c r="G50" s="2">
        <f t="shared" si="16"/>
        <v>7.6366768704107377</v>
      </c>
      <c r="H50" s="2">
        <f t="shared" si="16"/>
        <v>4.0066563106735833</v>
      </c>
      <c r="K50" s="6">
        <v>38</v>
      </c>
      <c r="L50" s="2">
        <f t="shared" si="0"/>
        <v>20.771954348532198</v>
      </c>
      <c r="M50" s="2">
        <f t="shared" si="1"/>
        <v>17.368813101771192</v>
      </c>
      <c r="N50" s="2">
        <f t="shared" si="2"/>
        <v>13.965670624686052</v>
      </c>
      <c r="O50" s="2">
        <f t="shared" si="3"/>
        <v>10.562527377319599</v>
      </c>
      <c r="P50" s="2">
        <f t="shared" si="4"/>
        <v>7.1593845660100666</v>
      </c>
      <c r="Q50" s="2">
        <f t="shared" si="5"/>
        <v>3.7562402912564843</v>
      </c>
      <c r="T50" s="6">
        <v>38</v>
      </c>
      <c r="U50" s="2">
        <f t="shared" si="6"/>
        <v>22.156751305101011</v>
      </c>
      <c r="V50" s="2">
        <f t="shared" si="7"/>
        <v>18.526733975222605</v>
      </c>
      <c r="W50" s="2">
        <f t="shared" si="8"/>
        <v>14.896715332998454</v>
      </c>
      <c r="X50" s="2">
        <f t="shared" si="9"/>
        <v>11.266695869140905</v>
      </c>
      <c r="Y50" s="2">
        <f t="shared" si="10"/>
        <v>7.6366768704107377</v>
      </c>
      <c r="Z50" s="2">
        <f t="shared" si="11"/>
        <v>4.0066563106735833</v>
      </c>
      <c r="AB50" s="12">
        <f t="shared" si="12"/>
        <v>0.9375</v>
      </c>
      <c r="AD50" s="13">
        <f>IFERROR(macrs($D$3,$D$4,$AF50,$T50,TRUE),1)</f>
        <v>1</v>
      </c>
      <c r="AF50" s="7">
        <v>0</v>
      </c>
    </row>
    <row r="51" spans="2:32" x14ac:dyDescent="0.25">
      <c r="B51" s="6">
        <v>39</v>
      </c>
      <c r="C51" s="8">
        <v>132.45745582942939</v>
      </c>
      <c r="D51" s="2">
        <f t="shared" si="16"/>
        <v>22.156751305101011</v>
      </c>
      <c r="E51" s="2">
        <f t="shared" si="16"/>
        <v>18.526733975222605</v>
      </c>
      <c r="F51" s="2">
        <f t="shared" si="16"/>
        <v>14.896715332998454</v>
      </c>
      <c r="G51" s="2">
        <f t="shared" si="16"/>
        <v>11.266695869140905</v>
      </c>
      <c r="H51" s="2">
        <f t="shared" si="16"/>
        <v>7.6366768704107377</v>
      </c>
      <c r="K51" s="6">
        <v>39</v>
      </c>
      <c r="L51" s="2">
        <f t="shared" si="0"/>
        <v>127.4903012358258</v>
      </c>
      <c r="M51" s="2">
        <f t="shared" si="1"/>
        <v>21.325873131159724</v>
      </c>
      <c r="N51" s="2">
        <f t="shared" si="2"/>
        <v>17.831981451151758</v>
      </c>
      <c r="O51" s="2">
        <f t="shared" si="3"/>
        <v>14.338088508011012</v>
      </c>
      <c r="P51" s="2">
        <f t="shared" si="4"/>
        <v>10.844194774048121</v>
      </c>
      <c r="Q51" s="2">
        <f t="shared" si="5"/>
        <v>7.3503014877703352</v>
      </c>
      <c r="T51" s="6">
        <v>39</v>
      </c>
      <c r="U51" s="2">
        <f t="shared" si="6"/>
        <v>132.45745582942939</v>
      </c>
      <c r="V51" s="2">
        <f t="shared" si="7"/>
        <v>22.156751305101011</v>
      </c>
      <c r="W51" s="2">
        <f t="shared" si="8"/>
        <v>18.526733975222605</v>
      </c>
      <c r="X51" s="2">
        <f t="shared" si="9"/>
        <v>14.896715332998454</v>
      </c>
      <c r="Y51" s="2">
        <f t="shared" si="10"/>
        <v>11.266695869140905</v>
      </c>
      <c r="Z51" s="2">
        <f t="shared" si="11"/>
        <v>7.6366768704107377</v>
      </c>
      <c r="AB51" s="12">
        <f t="shared" si="12"/>
        <v>0.96250000000000002</v>
      </c>
      <c r="AD51" s="13">
        <f>IFERROR(macrs($D$3,$D$4,$AF51,$T51,TRUE),1)</f>
        <v>1</v>
      </c>
      <c r="AF51" s="7">
        <v>0</v>
      </c>
    </row>
    <row r="52" spans="2:32" x14ac:dyDescent="0.25">
      <c r="B52" s="6">
        <v>40</v>
      </c>
      <c r="C52" s="8">
        <v>4</v>
      </c>
      <c r="D52" s="2">
        <f t="shared" si="16"/>
        <v>132.45745582942939</v>
      </c>
      <c r="E52" s="2">
        <f t="shared" si="16"/>
        <v>22.156751305101011</v>
      </c>
      <c r="F52" s="2">
        <f t="shared" si="16"/>
        <v>18.526733975222605</v>
      </c>
      <c r="G52" s="2">
        <f t="shared" si="16"/>
        <v>14.896715332998454</v>
      </c>
      <c r="H52" s="2">
        <f t="shared" si="16"/>
        <v>11.266695869140905</v>
      </c>
      <c r="K52" s="6">
        <v>40</v>
      </c>
      <c r="L52" s="2">
        <f t="shared" si="0"/>
        <v>3.95</v>
      </c>
      <c r="M52" s="2">
        <f t="shared" si="1"/>
        <v>130.80173763156154</v>
      </c>
      <c r="N52" s="2">
        <f t="shared" si="2"/>
        <v>21.879791913787248</v>
      </c>
      <c r="O52" s="2">
        <f t="shared" si="3"/>
        <v>18.295149800532322</v>
      </c>
      <c r="P52" s="2">
        <f t="shared" si="4"/>
        <v>14.710506391335974</v>
      </c>
      <c r="Q52" s="2">
        <f t="shared" si="5"/>
        <v>11.125862170776644</v>
      </c>
      <c r="T52" s="6">
        <v>40</v>
      </c>
      <c r="U52" s="2">
        <f t="shared" si="6"/>
        <v>4</v>
      </c>
      <c r="V52" s="2">
        <f t="shared" si="7"/>
        <v>132.45745582942939</v>
      </c>
      <c r="W52" s="2">
        <f t="shared" si="8"/>
        <v>22.156751305101011</v>
      </c>
      <c r="X52" s="2">
        <f t="shared" si="9"/>
        <v>18.526733975222605</v>
      </c>
      <c r="Y52" s="2">
        <f t="shared" si="10"/>
        <v>14.896715332998454</v>
      </c>
      <c r="Z52" s="2">
        <f t="shared" si="11"/>
        <v>11.266695869140905</v>
      </c>
      <c r="AB52" s="12">
        <f t="shared" si="12"/>
        <v>0.98750000000000004</v>
      </c>
      <c r="AD52" s="13">
        <f>IFERROR(macrs($D$3,$D$4,$AF52,$T52,TRUE),1)</f>
        <v>1</v>
      </c>
      <c r="AF52" s="7">
        <v>0</v>
      </c>
    </row>
    <row r="53" spans="2:32" x14ac:dyDescent="0.25">
      <c r="B53" s="6">
        <v>41</v>
      </c>
      <c r="C53" s="8">
        <v>4</v>
      </c>
      <c r="D53" s="2">
        <f t="shared" si="16"/>
        <v>4</v>
      </c>
      <c r="E53" s="2">
        <f t="shared" si="16"/>
        <v>132.45745582942939</v>
      </c>
      <c r="F53" s="2">
        <f t="shared" si="16"/>
        <v>22.156751305101011</v>
      </c>
      <c r="G53" s="2">
        <f t="shared" si="16"/>
        <v>18.526733975222605</v>
      </c>
      <c r="H53" s="2">
        <f t="shared" si="16"/>
        <v>14.896715332998454</v>
      </c>
      <c r="K53" s="6">
        <v>41</v>
      </c>
      <c r="L53" s="2">
        <f t="shared" si="0"/>
        <v>4</v>
      </c>
      <c r="M53" s="2">
        <f t="shared" si="1"/>
        <v>4</v>
      </c>
      <c r="N53" s="2">
        <f t="shared" si="2"/>
        <v>132.45745582942939</v>
      </c>
      <c r="O53" s="2">
        <f t="shared" si="3"/>
        <v>22.156751305101011</v>
      </c>
      <c r="P53" s="2">
        <f t="shared" si="4"/>
        <v>18.526733975222605</v>
      </c>
      <c r="Q53" s="2">
        <f t="shared" si="5"/>
        <v>14.896715332998454</v>
      </c>
      <c r="T53" s="6">
        <v>41</v>
      </c>
      <c r="U53" s="2">
        <f t="shared" si="6"/>
        <v>4</v>
      </c>
      <c r="V53" s="2">
        <f t="shared" si="7"/>
        <v>4</v>
      </c>
      <c r="W53" s="2">
        <f t="shared" si="8"/>
        <v>132.45745582942939</v>
      </c>
      <c r="X53" s="2">
        <f t="shared" si="9"/>
        <v>22.156751305101011</v>
      </c>
      <c r="Y53" s="2">
        <f t="shared" si="10"/>
        <v>18.526733975222605</v>
      </c>
      <c r="Z53" s="2">
        <f t="shared" si="11"/>
        <v>14.896715332998454</v>
      </c>
      <c r="AB53" s="12">
        <f t="shared" si="12"/>
        <v>1</v>
      </c>
      <c r="AD53" s="13">
        <f>IFERROR(macrs($D$3,$D$4,$AF53,$T53,TRUE),1)</f>
        <v>1</v>
      </c>
      <c r="AF53" s="7">
        <v>0</v>
      </c>
    </row>
    <row r="54" spans="2:32" x14ac:dyDescent="0.25">
      <c r="B54" s="6">
        <v>42</v>
      </c>
      <c r="C54" s="2"/>
      <c r="D54" s="2">
        <f>C53+C54</f>
        <v>4</v>
      </c>
      <c r="E54" s="2">
        <f>D53+D54</f>
        <v>8</v>
      </c>
      <c r="F54" s="2">
        <f>E53+E54</f>
        <v>140.45745582942939</v>
      </c>
      <c r="G54" s="2">
        <f>F53+F54</f>
        <v>162.6142071345304</v>
      </c>
      <c r="H54" s="2">
        <f>G53+G54</f>
        <v>181.14094110975302</v>
      </c>
      <c r="K54" s="6">
        <v>42</v>
      </c>
      <c r="L54" s="2">
        <f t="shared" si="0"/>
        <v>0</v>
      </c>
      <c r="M54" s="2">
        <f t="shared" si="1"/>
        <v>4</v>
      </c>
      <c r="N54" s="2">
        <f t="shared" si="2"/>
        <v>8</v>
      </c>
      <c r="O54" s="2">
        <f t="shared" si="3"/>
        <v>140.45745582942939</v>
      </c>
      <c r="P54" s="2">
        <f t="shared" si="4"/>
        <v>162.6142071345304</v>
      </c>
      <c r="Q54" s="2">
        <f t="shared" si="5"/>
        <v>181.14094110975302</v>
      </c>
      <c r="T54" s="6">
        <v>42</v>
      </c>
      <c r="U54" s="2">
        <f t="shared" si="6"/>
        <v>0</v>
      </c>
      <c r="V54" s="2">
        <f t="shared" si="7"/>
        <v>4</v>
      </c>
      <c r="W54" s="2">
        <f t="shared" si="8"/>
        <v>8</v>
      </c>
      <c r="X54" s="2">
        <f t="shared" si="9"/>
        <v>140.45745582942939</v>
      </c>
      <c r="Y54" s="2">
        <f t="shared" si="10"/>
        <v>162.6142071345304</v>
      </c>
      <c r="Z54" s="2">
        <f t="shared" si="11"/>
        <v>181.14094110975302</v>
      </c>
      <c r="AB54" s="12">
        <f t="shared" si="12"/>
        <v>1</v>
      </c>
      <c r="AD54" s="13">
        <f>IFERROR(macrs($D$3,$D$4,$AF54,$T54,TRUE),1)</f>
        <v>1</v>
      </c>
    </row>
    <row r="55" spans="2:32" x14ac:dyDescent="0.25">
      <c r="B55" s="4" t="s">
        <v>12</v>
      </c>
      <c r="C55" s="3">
        <f t="shared" ref="C55:H55" si="18">SUM(C13:C54)</f>
        <v>2000.0000000000364</v>
      </c>
      <c r="D55" s="3">
        <f t="shared" si="18"/>
        <v>2150.0000000000364</v>
      </c>
      <c r="E55" s="3">
        <f t="shared" si="18"/>
        <v>2310.0000000000359</v>
      </c>
      <c r="F55" s="3">
        <f t="shared" si="18"/>
        <v>2490.0000000000359</v>
      </c>
      <c r="G55" s="3">
        <f t="shared" si="18"/>
        <v>2640.0000000000364</v>
      </c>
      <c r="H55" s="3">
        <f t="shared" si="18"/>
        <v>2785.0000000000368</v>
      </c>
      <c r="K55" s="4" t="s">
        <v>12</v>
      </c>
      <c r="L55" s="3">
        <f t="shared" ref="L55:Q55" si="19">SUM(L13:L54)</f>
        <v>400.00000000001472</v>
      </c>
      <c r="M55" s="3">
        <f t="shared" si="19"/>
        <v>451.72500000001565</v>
      </c>
      <c r="N55" s="3">
        <f t="shared" si="19"/>
        <v>505.61928180214875</v>
      </c>
      <c r="O55" s="3">
        <f t="shared" si="19"/>
        <v>561.83088601510019</v>
      </c>
      <c r="P55" s="3">
        <f t="shared" si="19"/>
        <v>621.65894666204747</v>
      </c>
      <c r="Q55" s="3">
        <f t="shared" si="19"/>
        <v>684.75671419264199</v>
      </c>
      <c r="T55" s="4" t="s">
        <v>12</v>
      </c>
      <c r="U55" s="3">
        <f t="shared" ref="U55:Z55" si="20">SUM(U13:U54)</f>
        <v>1258.5714285714243</v>
      </c>
      <c r="V55" s="3">
        <f t="shared" si="20"/>
        <v>1344.6206524952618</v>
      </c>
      <c r="W55" s="3">
        <f t="shared" si="20"/>
        <v>1512.2900835288938</v>
      </c>
      <c r="X55" s="3">
        <f t="shared" si="20"/>
        <v>1580.8026773948491</v>
      </c>
      <c r="Y55" s="3">
        <f t="shared" si="20"/>
        <v>1744.4082021997854</v>
      </c>
      <c r="Z55" s="3">
        <f t="shared" si="20"/>
        <v>1903.6124534978958</v>
      </c>
    </row>
    <row r="58" spans="2:32" x14ac:dyDescent="0.25">
      <c r="D58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7A90CF-8D45-433D-9F09-A252D5CE5FA3}">
  <ds:schemaRefs>
    <ds:schemaRef ds:uri="http://www.w3.org/2001/XMLSchema"/>
    <ds:schemaRef ds:uri="http://www.boozallen.com/argo/gui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Rate Base Model L1</vt:lpstr>
      <vt:lpstr>Rate Base Model L2</vt:lpstr>
      <vt:lpstr>Plant in Service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Conklin, Michael B</cp:lastModifiedBy>
  <dcterms:created xsi:type="dcterms:W3CDTF">2018-01-04T13:09:01Z</dcterms:created>
  <dcterms:modified xsi:type="dcterms:W3CDTF">2018-01-06T14:19:58Z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{C20D0B74-FA5E-431A-A1F6-8814105FB682}</vt:lpwstr>
  </property>
</Properties>
</file>