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chael\Desktop\"/>
    </mc:Choice>
  </mc:AlternateContent>
  <bookViews>
    <workbookView xWindow="0" yWindow="0" windowWidth="20490" windowHeight="9045" activeTab="1"/>
  </bookViews>
  <sheets>
    <sheet name="Rate Base Model L1" sheetId="1" r:id="rId1"/>
    <sheet name="Plant in Service" sheetId="2" r:id="rId2"/>
  </sheets>
  <functionGroups builtInGroupCount="18"/>
  <calcPr calcId="152511" calcMode="autoNoTable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43" i="2" l="1"/>
  <c r="L14" i="2"/>
  <c r="M14" i="2"/>
  <c r="N14" i="2"/>
  <c r="O14" i="2"/>
  <c r="P14" i="2"/>
  <c r="Q14" i="2"/>
  <c r="L15" i="2"/>
  <c r="M15" i="2"/>
  <c r="N15" i="2"/>
  <c r="O15" i="2"/>
  <c r="P15" i="2"/>
  <c r="Q15" i="2"/>
  <c r="L16" i="2"/>
  <c r="M16" i="2"/>
  <c r="N16" i="2"/>
  <c r="O16" i="2"/>
  <c r="P16" i="2"/>
  <c r="Q16" i="2"/>
  <c r="L17" i="2"/>
  <c r="M17" i="2"/>
  <c r="N17" i="2"/>
  <c r="O17" i="2"/>
  <c r="P17" i="2"/>
  <c r="Q17" i="2"/>
  <c r="L18" i="2"/>
  <c r="M18" i="2"/>
  <c r="N18" i="2"/>
  <c r="O18" i="2"/>
  <c r="P18" i="2"/>
  <c r="Q18" i="2"/>
  <c r="L19" i="2"/>
  <c r="M19" i="2"/>
  <c r="N19" i="2"/>
  <c r="O19" i="2"/>
  <c r="P19" i="2"/>
  <c r="Q19" i="2"/>
  <c r="L20" i="2"/>
  <c r="M20" i="2"/>
  <c r="N20" i="2"/>
  <c r="O20" i="2"/>
  <c r="P20" i="2"/>
  <c r="Q20" i="2"/>
  <c r="L21" i="2"/>
  <c r="M21" i="2"/>
  <c r="N21" i="2"/>
  <c r="O21" i="2"/>
  <c r="P21" i="2"/>
  <c r="Q21" i="2"/>
  <c r="L22" i="2"/>
  <c r="M22" i="2"/>
  <c r="N22" i="2"/>
  <c r="O22" i="2"/>
  <c r="P22" i="2"/>
  <c r="Q22" i="2"/>
  <c r="L23" i="2"/>
  <c r="M23" i="2"/>
  <c r="N23" i="2"/>
  <c r="O23" i="2"/>
  <c r="P23" i="2"/>
  <c r="Q23" i="2"/>
  <c r="L24" i="2"/>
  <c r="M24" i="2"/>
  <c r="N24" i="2"/>
  <c r="O24" i="2"/>
  <c r="P24" i="2"/>
  <c r="Q24" i="2"/>
  <c r="L25" i="2"/>
  <c r="M25" i="2"/>
  <c r="N25" i="2"/>
  <c r="O25" i="2"/>
  <c r="P25" i="2"/>
  <c r="Q25" i="2"/>
  <c r="L26" i="2"/>
  <c r="M26" i="2"/>
  <c r="N26" i="2"/>
  <c r="O26" i="2"/>
  <c r="P26" i="2"/>
  <c r="Q26" i="2"/>
  <c r="L27" i="2"/>
  <c r="M27" i="2"/>
  <c r="N27" i="2"/>
  <c r="O27" i="2"/>
  <c r="P27" i="2"/>
  <c r="Q27" i="2"/>
  <c r="L28" i="2"/>
  <c r="M28" i="2"/>
  <c r="N28" i="2"/>
  <c r="O28" i="2"/>
  <c r="P28" i="2"/>
  <c r="Q28" i="2"/>
  <c r="L29" i="2"/>
  <c r="M29" i="2"/>
  <c r="N29" i="2"/>
  <c r="O29" i="2"/>
  <c r="P29" i="2"/>
  <c r="Q29" i="2"/>
  <c r="L30" i="2"/>
  <c r="M30" i="2"/>
  <c r="N30" i="2"/>
  <c r="O30" i="2"/>
  <c r="P30" i="2"/>
  <c r="Q30" i="2"/>
  <c r="L31" i="2"/>
  <c r="M31" i="2"/>
  <c r="N31" i="2"/>
  <c r="O31" i="2"/>
  <c r="P31" i="2"/>
  <c r="Q31" i="2"/>
  <c r="L32" i="2"/>
  <c r="M32" i="2"/>
  <c r="N32" i="2"/>
  <c r="O32" i="2"/>
  <c r="P32" i="2"/>
  <c r="Q32" i="2"/>
  <c r="L33" i="2"/>
  <c r="M33" i="2"/>
  <c r="N33" i="2"/>
  <c r="O33" i="2"/>
  <c r="P33" i="2"/>
  <c r="Q33" i="2"/>
  <c r="L34" i="2"/>
  <c r="M34" i="2"/>
  <c r="N34" i="2"/>
  <c r="O34" i="2"/>
  <c r="P34" i="2"/>
  <c r="Q34" i="2"/>
  <c r="L35" i="2"/>
  <c r="M35" i="2"/>
  <c r="N35" i="2"/>
  <c r="O35" i="2"/>
  <c r="P35" i="2"/>
  <c r="Q35" i="2"/>
  <c r="L36" i="2"/>
  <c r="M36" i="2"/>
  <c r="N36" i="2"/>
  <c r="O36" i="2"/>
  <c r="P36" i="2"/>
  <c r="Q36" i="2"/>
  <c r="L37" i="2"/>
  <c r="M37" i="2"/>
  <c r="N37" i="2"/>
  <c r="O37" i="2"/>
  <c r="P37" i="2"/>
  <c r="Q37" i="2"/>
  <c r="L38" i="2"/>
  <c r="M38" i="2"/>
  <c r="N38" i="2"/>
  <c r="O38" i="2"/>
  <c r="P38" i="2"/>
  <c r="Q38" i="2"/>
  <c r="L39" i="2"/>
  <c r="M39" i="2"/>
  <c r="N39" i="2"/>
  <c r="O39" i="2"/>
  <c r="P39" i="2"/>
  <c r="Q39" i="2"/>
  <c r="L40" i="2"/>
  <c r="M40" i="2"/>
  <c r="N40" i="2"/>
  <c r="O40" i="2"/>
  <c r="P40" i="2"/>
  <c r="Q40" i="2"/>
  <c r="L41" i="2"/>
  <c r="M41" i="2"/>
  <c r="N41" i="2"/>
  <c r="O41" i="2"/>
  <c r="P41" i="2"/>
  <c r="Q41" i="2"/>
  <c r="L42" i="2"/>
  <c r="M42" i="2"/>
  <c r="N42" i="2"/>
  <c r="O42" i="2"/>
  <c r="P42" i="2"/>
  <c r="Q42" i="2"/>
  <c r="L43" i="2"/>
  <c r="M43" i="2"/>
  <c r="N43" i="2"/>
  <c r="O43" i="2"/>
  <c r="P43" i="2"/>
  <c r="Q43" i="2"/>
  <c r="L44" i="2"/>
  <c r="M44" i="2"/>
  <c r="N44" i="2"/>
  <c r="O44" i="2"/>
  <c r="P44" i="2"/>
  <c r="Q44" i="2"/>
  <c r="L45" i="2"/>
  <c r="M45" i="2"/>
  <c r="N45" i="2"/>
  <c r="O45" i="2"/>
  <c r="P45" i="2"/>
  <c r="Q45" i="2"/>
  <c r="L46" i="2"/>
  <c r="M46" i="2"/>
  <c r="N46" i="2"/>
  <c r="O46" i="2"/>
  <c r="P46" i="2"/>
  <c r="Q46" i="2"/>
  <c r="L47" i="2"/>
  <c r="M47" i="2"/>
  <c r="N47" i="2"/>
  <c r="O47" i="2"/>
  <c r="P47" i="2"/>
  <c r="Q47" i="2"/>
  <c r="L48" i="2"/>
  <c r="M48" i="2"/>
  <c r="N48" i="2"/>
  <c r="O48" i="2"/>
  <c r="P48" i="2"/>
  <c r="Q48" i="2"/>
  <c r="L49" i="2"/>
  <c r="M49" i="2"/>
  <c r="N49" i="2"/>
  <c r="O49" i="2"/>
  <c r="P49" i="2"/>
  <c r="Q49" i="2"/>
  <c r="L50" i="2"/>
  <c r="M50" i="2"/>
  <c r="N50" i="2"/>
  <c r="O50" i="2"/>
  <c r="P50" i="2"/>
  <c r="Q50" i="2"/>
  <c r="L51" i="2"/>
  <c r="M51" i="2"/>
  <c r="N51" i="2"/>
  <c r="O51" i="2"/>
  <c r="P51" i="2"/>
  <c r="Q51" i="2"/>
  <c r="L52" i="2"/>
  <c r="M52" i="2"/>
  <c r="N52" i="2"/>
  <c r="O52" i="2"/>
  <c r="P52" i="2"/>
  <c r="Q52" i="2"/>
  <c r="L53" i="2"/>
  <c r="M53" i="2"/>
  <c r="N53" i="2"/>
  <c r="O53" i="2"/>
  <c r="P53" i="2"/>
  <c r="Q53" i="2"/>
  <c r="L54" i="2"/>
  <c r="M54" i="2"/>
  <c r="N54" i="2"/>
  <c r="O54" i="2"/>
  <c r="P54" i="2"/>
  <c r="Q54" i="2"/>
  <c r="M13" i="2"/>
  <c r="N13" i="2"/>
  <c r="O13" i="2"/>
  <c r="P13" i="2"/>
  <c r="Q13" i="2"/>
  <c r="L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13" i="2"/>
  <c r="AG44" i="2"/>
  <c r="AG54" i="2"/>
  <c r="AG14" i="2"/>
  <c r="AG18" i="2"/>
  <c r="AG22" i="2"/>
  <c r="AG26" i="2"/>
  <c r="AG30" i="2"/>
  <c r="AG34" i="2"/>
  <c r="AG38" i="2"/>
  <c r="AG42" i="2"/>
  <c r="AG46" i="2"/>
  <c r="AG50" i="2"/>
  <c r="AG21" i="2"/>
  <c r="AG37" i="2"/>
  <c r="AG49" i="2"/>
  <c r="AG15" i="2"/>
  <c r="AG19" i="2"/>
  <c r="AG23" i="2"/>
  <c r="AG27" i="2"/>
  <c r="AG31" i="2"/>
  <c r="AG35" i="2"/>
  <c r="AG39" i="2"/>
  <c r="AG47" i="2"/>
  <c r="AG51" i="2"/>
  <c r="AG25" i="2"/>
  <c r="AG33" i="2"/>
  <c r="AG41" i="2"/>
  <c r="AG53" i="2"/>
  <c r="AG16" i="2"/>
  <c r="AG20" i="2"/>
  <c r="AG24" i="2"/>
  <c r="AG28" i="2"/>
  <c r="AG32" i="2"/>
  <c r="AG36" i="2"/>
  <c r="AG40" i="2"/>
  <c r="AG48" i="2"/>
  <c r="AG52" i="2"/>
  <c r="AG17" i="2"/>
  <c r="AG29" i="2"/>
  <c r="AG45" i="2"/>
  <c r="AG13" i="2"/>
  <c r="AB13" i="2" l="1"/>
  <c r="AA13" i="2"/>
  <c r="W13" i="2"/>
  <c r="Y13" i="2"/>
  <c r="Z13" i="2"/>
  <c r="X13" i="2"/>
  <c r="Y45" i="2"/>
  <c r="W45" i="2"/>
  <c r="AB45" i="2"/>
  <c r="Z45" i="2"/>
  <c r="X45" i="2"/>
  <c r="AA45" i="2"/>
  <c r="Y29" i="2"/>
  <c r="W29" i="2"/>
  <c r="AB29" i="2"/>
  <c r="AA29" i="2"/>
  <c r="X29" i="2"/>
  <c r="Z29" i="2"/>
  <c r="Y17" i="2"/>
  <c r="Z17" i="2"/>
  <c r="W17" i="2"/>
  <c r="AA17" i="2"/>
  <c r="X17" i="2"/>
  <c r="AB17" i="2"/>
  <c r="W52" i="2"/>
  <c r="AA52" i="2"/>
  <c r="X52" i="2"/>
  <c r="Z52" i="2"/>
  <c r="AB52" i="2"/>
  <c r="Y52" i="2"/>
  <c r="W48" i="2"/>
  <c r="AA48" i="2"/>
  <c r="Z48" i="2"/>
  <c r="AB48" i="2"/>
  <c r="X48" i="2"/>
  <c r="Y48" i="2"/>
  <c r="W44" i="2"/>
  <c r="AA44" i="2"/>
  <c r="X44" i="2"/>
  <c r="AB44" i="2"/>
  <c r="Y44" i="2"/>
  <c r="Z44" i="2"/>
  <c r="W40" i="2"/>
  <c r="AA40" i="2"/>
  <c r="Z40" i="2"/>
  <c r="Y40" i="2"/>
  <c r="AB40" i="2"/>
  <c r="X40" i="2"/>
  <c r="W36" i="2"/>
  <c r="AA36" i="2"/>
  <c r="X36" i="2"/>
  <c r="Y36" i="2"/>
  <c r="Z36" i="2"/>
  <c r="AB36" i="2"/>
  <c r="W32" i="2"/>
  <c r="AA32" i="2"/>
  <c r="Z32" i="2"/>
  <c r="AB32" i="2"/>
  <c r="X32" i="2"/>
  <c r="Y32" i="2"/>
  <c r="W28" i="2"/>
  <c r="AA28" i="2"/>
  <c r="X28" i="2"/>
  <c r="AB28" i="2"/>
  <c r="Y28" i="2"/>
  <c r="Z28" i="2"/>
  <c r="W24" i="2"/>
  <c r="AA24" i="2"/>
  <c r="X24" i="2"/>
  <c r="AB24" i="2"/>
  <c r="Y24" i="2"/>
  <c r="Z24" i="2"/>
  <c r="W20" i="2"/>
  <c r="AA20" i="2"/>
  <c r="X20" i="2"/>
  <c r="AB20" i="2"/>
  <c r="Y20" i="2"/>
  <c r="Z20" i="2"/>
  <c r="W16" i="2"/>
  <c r="AA16" i="2"/>
  <c r="X16" i="2"/>
  <c r="AB16" i="2"/>
  <c r="Y16" i="2"/>
  <c r="Z16" i="2"/>
  <c r="Y53" i="2"/>
  <c r="W53" i="2"/>
  <c r="AB53" i="2"/>
  <c r="X53" i="2"/>
  <c r="Z53" i="2"/>
  <c r="AA53" i="2"/>
  <c r="Y41" i="2"/>
  <c r="Z41" i="2"/>
  <c r="W41" i="2"/>
  <c r="AA41" i="2"/>
  <c r="AB41" i="2"/>
  <c r="X41" i="2"/>
  <c r="Y33" i="2"/>
  <c r="Z33" i="2"/>
  <c r="W33" i="2"/>
  <c r="X33" i="2"/>
  <c r="AA33" i="2"/>
  <c r="AB33" i="2"/>
  <c r="Y25" i="2"/>
  <c r="Z25" i="2"/>
  <c r="W25" i="2"/>
  <c r="X25" i="2"/>
  <c r="AA25" i="2"/>
  <c r="AB25" i="2"/>
  <c r="Y51" i="2"/>
  <c r="X51" i="2"/>
  <c r="AA51" i="2"/>
  <c r="W51" i="2"/>
  <c r="Z51" i="2"/>
  <c r="AB51" i="2"/>
  <c r="Y47" i="2"/>
  <c r="AA47" i="2"/>
  <c r="X47" i="2"/>
  <c r="Z47" i="2"/>
  <c r="W47" i="2"/>
  <c r="AB47" i="2"/>
  <c r="Y43" i="2"/>
  <c r="X43" i="2"/>
  <c r="AA43" i="2"/>
  <c r="AB43" i="2"/>
  <c r="Z43" i="2"/>
  <c r="W43" i="2"/>
  <c r="Y39" i="2"/>
  <c r="AA39" i="2"/>
  <c r="X39" i="2"/>
  <c r="W39" i="2"/>
  <c r="AB39" i="2"/>
  <c r="Z39" i="2"/>
  <c r="Y35" i="2"/>
  <c r="X35" i="2"/>
  <c r="AA35" i="2"/>
  <c r="W35" i="2"/>
  <c r="AB35" i="2"/>
  <c r="Z35" i="2"/>
  <c r="Y31" i="2"/>
  <c r="AA31" i="2"/>
  <c r="X31" i="2"/>
  <c r="Z31" i="2"/>
  <c r="W31" i="2"/>
  <c r="AB31" i="2"/>
  <c r="Y27" i="2"/>
  <c r="Z27" i="2"/>
  <c r="AA27" i="2"/>
  <c r="W27" i="2"/>
  <c r="X27" i="2"/>
  <c r="AB27" i="2"/>
  <c r="Y23" i="2"/>
  <c r="Z23" i="2"/>
  <c r="AA23" i="2"/>
  <c r="AB23" i="2"/>
  <c r="W23" i="2"/>
  <c r="X23" i="2"/>
  <c r="Y19" i="2"/>
  <c r="Z19" i="2"/>
  <c r="AA19" i="2"/>
  <c r="X19" i="2"/>
  <c r="AB19" i="2"/>
  <c r="W19" i="2"/>
  <c r="Y15" i="2"/>
  <c r="Z15" i="2"/>
  <c r="AA15" i="2"/>
  <c r="AB15" i="2"/>
  <c r="W15" i="2"/>
  <c r="X15" i="2"/>
  <c r="Y49" i="2"/>
  <c r="Z49" i="2"/>
  <c r="AB49" i="2"/>
  <c r="X49" i="2"/>
  <c r="AA49" i="2"/>
  <c r="W49" i="2"/>
  <c r="Y37" i="2"/>
  <c r="W37" i="2"/>
  <c r="AB37" i="2"/>
  <c r="Z37" i="2"/>
  <c r="AA37" i="2"/>
  <c r="X37" i="2"/>
  <c r="Y21" i="2"/>
  <c r="Z21" i="2"/>
  <c r="W21" i="2"/>
  <c r="AA21" i="2"/>
  <c r="AB21" i="2"/>
  <c r="X21" i="2"/>
  <c r="W50" i="2"/>
  <c r="AA50" i="2"/>
  <c r="Y50" i="2"/>
  <c r="Z50" i="2"/>
  <c r="AB50" i="2"/>
  <c r="X50" i="2"/>
  <c r="W46" i="2"/>
  <c r="AA46" i="2"/>
  <c r="AB46" i="2"/>
  <c r="Z46" i="2"/>
  <c r="X46" i="2"/>
  <c r="Y46" i="2"/>
  <c r="W42" i="2"/>
  <c r="AA42" i="2"/>
  <c r="Y42" i="2"/>
  <c r="X42" i="2"/>
  <c r="Z42" i="2"/>
  <c r="AB42" i="2"/>
  <c r="W38" i="2"/>
  <c r="AA38" i="2"/>
  <c r="AB38" i="2"/>
  <c r="Z38" i="2"/>
  <c r="X38" i="2"/>
  <c r="Y38" i="2"/>
  <c r="W34" i="2"/>
  <c r="AA34" i="2"/>
  <c r="Y34" i="2"/>
  <c r="AB34" i="2"/>
  <c r="Z34" i="2"/>
  <c r="X34" i="2"/>
  <c r="W30" i="2"/>
  <c r="AA30" i="2"/>
  <c r="AB30" i="2"/>
  <c r="Z30" i="2"/>
  <c r="X30" i="2"/>
  <c r="Y30" i="2"/>
  <c r="W26" i="2"/>
  <c r="AA26" i="2"/>
  <c r="X26" i="2"/>
  <c r="AB26" i="2"/>
  <c r="Y26" i="2"/>
  <c r="Z26" i="2"/>
  <c r="W22" i="2"/>
  <c r="AA22" i="2"/>
  <c r="X22" i="2"/>
  <c r="AB22" i="2"/>
  <c r="Y22" i="2"/>
  <c r="Z22" i="2"/>
  <c r="W18" i="2"/>
  <c r="AA18" i="2"/>
  <c r="X18" i="2"/>
  <c r="AB18" i="2"/>
  <c r="Y18" i="2"/>
  <c r="Z18" i="2"/>
  <c r="W14" i="2"/>
  <c r="AA14" i="2"/>
  <c r="X14" i="2"/>
  <c r="AB14" i="2"/>
  <c r="Y14" i="2"/>
  <c r="Z14" i="2"/>
  <c r="Z54" i="2"/>
  <c r="Y54" i="2"/>
  <c r="W54" i="2"/>
  <c r="AA54" i="2"/>
  <c r="X54" i="2"/>
  <c r="AB54" i="2"/>
  <c r="E5" i="1"/>
  <c r="G28" i="1" l="1"/>
  <c r="H28" i="1"/>
  <c r="I28" i="1"/>
  <c r="J28" i="1"/>
  <c r="K28" i="1"/>
  <c r="F28" i="1"/>
  <c r="G25" i="1"/>
  <c r="H25" i="1"/>
  <c r="I25" i="1"/>
  <c r="J25" i="1"/>
  <c r="K25" i="1"/>
  <c r="F25" i="1"/>
  <c r="G22" i="1"/>
  <c r="H22" i="1"/>
  <c r="I22" i="1"/>
  <c r="J22" i="1"/>
  <c r="K22" i="1"/>
  <c r="F22" i="1"/>
  <c r="E14" i="2"/>
  <c r="D13" i="2"/>
  <c r="F15" i="2" l="1"/>
  <c r="D14" i="2"/>
  <c r="D15" i="2"/>
  <c r="F13" i="2"/>
  <c r="G14" i="2" s="1"/>
  <c r="E13" i="2"/>
  <c r="F14" i="2" s="1"/>
  <c r="G15" i="2" l="1"/>
  <c r="H15" i="2"/>
  <c r="G16" i="2"/>
  <c r="E15" i="2"/>
  <c r="D16" i="2"/>
  <c r="E16" i="2"/>
  <c r="H13" i="2"/>
  <c r="G13" i="2"/>
  <c r="H14" i="2" s="1"/>
  <c r="H17" i="2" l="1"/>
  <c r="H16" i="2"/>
  <c r="F16" i="2"/>
  <c r="F17" i="2"/>
  <c r="E17" i="2"/>
  <c r="D17" i="2"/>
  <c r="G17" i="2" l="1"/>
  <c r="F18" i="2"/>
  <c r="G18" i="2"/>
  <c r="D18" i="2"/>
  <c r="E18" i="2"/>
  <c r="H18" i="2" l="1"/>
  <c r="H19" i="2"/>
  <c r="F19" i="2"/>
  <c r="G19" i="2"/>
  <c r="E19" i="2"/>
  <c r="D19" i="2"/>
  <c r="H20" i="2" l="1"/>
  <c r="E20" i="2"/>
  <c r="G20" i="2"/>
  <c r="F20" i="2"/>
  <c r="D20" i="2"/>
  <c r="H21" i="2" l="1"/>
  <c r="E21" i="2"/>
  <c r="F21" i="2"/>
  <c r="D21" i="2"/>
  <c r="G21" i="2"/>
  <c r="H22" i="2" l="1"/>
  <c r="F22" i="2"/>
  <c r="E22" i="2"/>
  <c r="D22" i="2"/>
  <c r="G22" i="2"/>
  <c r="F23" i="2" l="1"/>
  <c r="H23" i="2"/>
  <c r="G23" i="2"/>
  <c r="D23" i="2"/>
  <c r="E23" i="2"/>
  <c r="H24" i="2" l="1"/>
  <c r="F24" i="2"/>
  <c r="E24" i="2"/>
  <c r="G24" i="2"/>
  <c r="D24" i="2"/>
  <c r="E25" i="2" l="1"/>
  <c r="G25" i="2"/>
  <c r="D25" i="2"/>
  <c r="H25" i="2"/>
  <c r="F25" i="2"/>
  <c r="E26" i="2" l="1"/>
  <c r="G26" i="2"/>
  <c r="H26" i="2"/>
  <c r="F26" i="2"/>
  <c r="D26" i="2"/>
  <c r="E27" i="2" l="1"/>
  <c r="G27" i="2"/>
  <c r="H27" i="2"/>
  <c r="F27" i="2"/>
  <c r="D27" i="2"/>
  <c r="G28" i="2" l="1"/>
  <c r="H28" i="2"/>
  <c r="E28" i="2"/>
  <c r="F28" i="2"/>
  <c r="D28" i="2"/>
  <c r="E29" i="2" l="1"/>
  <c r="F29" i="2"/>
  <c r="H29" i="2"/>
  <c r="G29" i="2"/>
  <c r="D29" i="2"/>
  <c r="H30" i="2" l="1"/>
  <c r="G30" i="2"/>
  <c r="E30" i="2"/>
  <c r="F30" i="2"/>
  <c r="D30" i="2"/>
  <c r="G31" i="2" l="1"/>
  <c r="H31" i="2"/>
  <c r="E31" i="2"/>
  <c r="F31" i="2"/>
  <c r="D31" i="2"/>
  <c r="G32" i="2" l="1"/>
  <c r="E32" i="2"/>
  <c r="F32" i="2"/>
  <c r="H32" i="2"/>
  <c r="D32" i="2"/>
  <c r="E33" i="2" l="1"/>
  <c r="F33" i="2"/>
  <c r="G33" i="2"/>
  <c r="H33" i="2"/>
  <c r="D33" i="2"/>
  <c r="E34" i="2" l="1"/>
  <c r="H34" i="2"/>
  <c r="F34" i="2"/>
  <c r="G34" i="2"/>
  <c r="D34" i="2"/>
  <c r="H35" i="2" l="1"/>
  <c r="E35" i="2"/>
  <c r="G35" i="2"/>
  <c r="F35" i="2"/>
  <c r="D35" i="2"/>
  <c r="E36" i="2" l="1"/>
  <c r="G36" i="2"/>
  <c r="F36" i="2"/>
  <c r="H36" i="2"/>
  <c r="D36" i="2"/>
  <c r="E37" i="2" l="1"/>
  <c r="H37" i="2"/>
  <c r="G37" i="2"/>
  <c r="F37" i="2"/>
  <c r="D37" i="2"/>
  <c r="E38" i="2" l="1"/>
  <c r="F38" i="2"/>
  <c r="H38" i="2"/>
  <c r="G38" i="2"/>
  <c r="D38" i="2"/>
  <c r="H39" i="2" l="1"/>
  <c r="G39" i="2"/>
  <c r="E39" i="2"/>
  <c r="F39" i="2"/>
  <c r="D39" i="2"/>
  <c r="G40" i="2" l="1"/>
  <c r="H40" i="2"/>
  <c r="E40" i="2"/>
  <c r="F40" i="2"/>
  <c r="D40" i="2"/>
  <c r="E41" i="2" l="1"/>
  <c r="G41" i="2"/>
  <c r="F41" i="2"/>
  <c r="H41" i="2"/>
  <c r="D41" i="2"/>
  <c r="E42" i="2" l="1"/>
  <c r="G42" i="2"/>
  <c r="F42" i="2"/>
  <c r="H42" i="2"/>
  <c r="D42" i="2"/>
  <c r="E43" i="2" l="1"/>
  <c r="H43" i="2"/>
  <c r="G43" i="2"/>
  <c r="F43" i="2"/>
  <c r="D43" i="2"/>
  <c r="G44" i="2" l="1"/>
  <c r="E44" i="2"/>
  <c r="H44" i="2"/>
  <c r="F44" i="2"/>
  <c r="D44" i="2"/>
  <c r="G45" i="2" l="1"/>
  <c r="F45" i="2"/>
  <c r="E45" i="2"/>
  <c r="H45" i="2"/>
  <c r="D45" i="2"/>
  <c r="G46" i="2" l="1"/>
  <c r="E46" i="2"/>
  <c r="F46" i="2"/>
  <c r="H46" i="2"/>
  <c r="D46" i="2"/>
  <c r="F47" i="2" l="1"/>
  <c r="E47" i="2"/>
  <c r="G47" i="2"/>
  <c r="H47" i="2"/>
  <c r="D47" i="2"/>
  <c r="F48" i="2" l="1"/>
  <c r="E48" i="2"/>
  <c r="H48" i="2"/>
  <c r="G48" i="2"/>
  <c r="D48" i="2"/>
  <c r="G49" i="2" l="1"/>
  <c r="E49" i="2"/>
  <c r="H49" i="2"/>
  <c r="F49" i="2"/>
  <c r="D49" i="2"/>
  <c r="H50" i="2" l="1"/>
  <c r="E50" i="2"/>
  <c r="G50" i="2"/>
  <c r="F50" i="2"/>
  <c r="D50" i="2"/>
  <c r="G51" i="2" l="1"/>
  <c r="F51" i="2"/>
  <c r="E51" i="2"/>
  <c r="H51" i="2"/>
  <c r="D51" i="2"/>
  <c r="E52" i="2" l="1"/>
  <c r="F52" i="2"/>
  <c r="H52" i="2"/>
  <c r="G52" i="2"/>
  <c r="D52" i="2"/>
  <c r="G53" i="2" l="1"/>
  <c r="H53" i="2"/>
  <c r="E53" i="2"/>
  <c r="F53" i="2"/>
  <c r="D53" i="2"/>
  <c r="L55" i="2" l="1"/>
  <c r="AK13" i="2" s="1"/>
  <c r="D54" i="2"/>
  <c r="C55" i="2"/>
  <c r="F10" i="1" s="1"/>
  <c r="D55" i="2"/>
  <c r="G10" i="1" s="1"/>
  <c r="F11" i="1" l="1"/>
  <c r="F12" i="1" s="1"/>
  <c r="E54" i="2"/>
  <c r="M55" i="2"/>
  <c r="G11" i="1" s="1"/>
  <c r="G12" i="1" s="1"/>
  <c r="F54" i="2" l="1"/>
  <c r="E55" i="2"/>
  <c r="H10" i="1" s="1"/>
  <c r="AL13" i="2"/>
  <c r="N55" i="2"/>
  <c r="G54" i="2"/>
  <c r="F55" i="2" l="1"/>
  <c r="I10" i="1" s="1"/>
  <c r="G55" i="2"/>
  <c r="J10" i="1" s="1"/>
  <c r="O55" i="2"/>
  <c r="P55" i="2"/>
  <c r="AO13" i="2" s="1"/>
  <c r="H54" i="2"/>
  <c r="AM13" i="2"/>
  <c r="H11" i="1"/>
  <c r="H12" i="1" s="1"/>
  <c r="J11" i="1" l="1"/>
  <c r="J12" i="1" s="1"/>
  <c r="Q55" i="2"/>
  <c r="AP13" i="2" s="1"/>
  <c r="H55" i="2"/>
  <c r="K10" i="1" s="1"/>
  <c r="I11" i="1"/>
  <c r="I12" i="1" s="1"/>
  <c r="AN13" i="2"/>
  <c r="K11" i="1" l="1"/>
  <c r="K12" i="1" s="1"/>
  <c r="Z55" i="2" l="1"/>
  <c r="AN14" i="2" s="1"/>
  <c r="AN15" i="2" s="1"/>
  <c r="I15" i="1" s="1"/>
  <c r="I16" i="1" s="1"/>
  <c r="I21" i="1" s="1"/>
  <c r="I23" i="1" s="1"/>
  <c r="Y55" i="2"/>
  <c r="AM14" i="2" s="1"/>
  <c r="AM15" i="2" s="1"/>
  <c r="H15" i="1" s="1"/>
  <c r="H16" i="1" s="1"/>
  <c r="H21" i="1" s="1"/>
  <c r="H23" i="1" s="1"/>
  <c r="AB55" i="2"/>
  <c r="AP14" i="2" s="1"/>
  <c r="AP15" i="2" s="1"/>
  <c r="K15" i="1" s="1"/>
  <c r="K16" i="1" s="1"/>
  <c r="K21" i="1" s="1"/>
  <c r="K23" i="1" s="1"/>
  <c r="X55" i="2"/>
  <c r="AL14" i="2" s="1"/>
  <c r="AL15" i="2" s="1"/>
  <c r="G15" i="1" s="1"/>
  <c r="G16" i="1" s="1"/>
  <c r="G21" i="1" s="1"/>
  <c r="G23" i="1" s="1"/>
  <c r="AA55" i="2"/>
  <c r="AO14" i="2" s="1"/>
  <c r="AO15" i="2" s="1"/>
  <c r="J15" i="1" s="1"/>
  <c r="J16" i="1" s="1"/>
  <c r="J21" i="1" s="1"/>
  <c r="J23" i="1" s="1"/>
  <c r="W55" i="2"/>
  <c r="AK14" i="2" s="1"/>
  <c r="AK15" i="2" s="1"/>
  <c r="F15" i="1" s="1"/>
  <c r="F16" i="1" s="1"/>
  <c r="F21" i="1" s="1"/>
  <c r="F23" i="1" s="1"/>
  <c r="G26" i="1" l="1"/>
  <c r="G29" i="1"/>
  <c r="K29" i="1"/>
  <c r="K26" i="1"/>
  <c r="F29" i="1"/>
  <c r="F26" i="1"/>
  <c r="H26" i="1"/>
  <c r="H29" i="1"/>
  <c r="J29" i="1"/>
  <c r="J26" i="1"/>
  <c r="I26" i="1"/>
  <c r="I29" i="1"/>
</calcChain>
</file>

<file path=xl/sharedStrings.xml><?xml version="1.0" encoding="utf-8"?>
<sst xmlns="http://schemas.openxmlformats.org/spreadsheetml/2006/main" count="45" uniqueCount="35">
  <si>
    <t>Year</t>
  </si>
  <si>
    <t>Net Plant in Service</t>
  </si>
  <si>
    <t>Exclusions</t>
  </si>
  <si>
    <t>Allowances</t>
  </si>
  <si>
    <t>Rate Base</t>
  </si>
  <si>
    <t>Gross plant in service</t>
  </si>
  <si>
    <t>Accumulated depreciation</t>
  </si>
  <si>
    <t>Accumulated deferred income tax</t>
  </si>
  <si>
    <t>FYF</t>
  </si>
  <si>
    <t>Useful life (book)</t>
  </si>
  <si>
    <t>Useful life (tax)</t>
  </si>
  <si>
    <t>Tax rate</t>
  </si>
  <si>
    <t>RATE BASE</t>
  </si>
  <si>
    <t>Age/Year</t>
  </si>
  <si>
    <t>PLANT IN SERVICE</t>
  </si>
  <si>
    <t>Total</t>
  </si>
  <si>
    <t>BOOK DEPRECIATION</t>
  </si>
  <si>
    <t>TAX DEPRECIATION</t>
  </si>
  <si>
    <t>ACCUMULATED DEFERRED INCOME TAX</t>
  </si>
  <si>
    <t>ADIT</t>
  </si>
  <si>
    <t>Book</t>
  </si>
  <si>
    <t>Tax</t>
  </si>
  <si>
    <t>FORWARD CAPEX</t>
  </si>
  <si>
    <t>Equity Capitalization</t>
  </si>
  <si>
    <t>Authorized ROE</t>
  </si>
  <si>
    <t>Authorized Return to Equity Holders</t>
  </si>
  <si>
    <t>Effective ROE</t>
  </si>
  <si>
    <t>Effective Return to Equity Holders</t>
  </si>
  <si>
    <t>Invested Equity</t>
  </si>
  <si>
    <t>RETURN ON EQUITY</t>
  </si>
  <si>
    <t>Lag</t>
  </si>
  <si>
    <t>DEPRECIATION</t>
  </si>
  <si>
    <t>BONUS</t>
  </si>
  <si>
    <t>FACTOR (TAX)</t>
  </si>
  <si>
    <t>FACTOR (BOOK)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</si>
</sst>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#,##0.000_);\(#,##0.000\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dotted">
        <color rgb="FF002060"/>
      </left>
      <right style="dotted">
        <color rgb="FF002060"/>
      </right>
      <top style="dotted">
        <color rgb="FF002060"/>
      </top>
      <bottom style="dotted">
        <color rgb="FF002060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7">
    <xf numFmtId="0" fontId="0" fillId="0" borderId="0" xfId="0"/>
    <xf numFmtId="0" fontId="1" fillId="0" borderId="0" xfId="0" applyFont="1"/>
    <xf numFmtId="37" fontId="0" fillId="0" borderId="0" xfId="0" applyNumberFormat="1"/>
    <xf numFmtId="37" fontId="1" fillId="0" borderId="1" xfId="0" applyNumberFormat="1" applyFont="1" applyBorder="1"/>
    <xf numFmtId="37" fontId="1" fillId="0" borderId="0" xfId="0" applyNumberFormat="1" applyFont="1" applyAlignment="1">
      <alignment horizontal="right"/>
    </xf>
    <xf numFmtId="0" fontId="0" fillId="0" borderId="0" xfId="0" applyFont="1"/>
    <xf numFmtId="37" fontId="0" fillId="0" borderId="3" xfId="0" applyNumberFormat="1" applyFont="1" applyBorder="1"/>
    <xf numFmtId="9" fontId="3" fillId="2" borderId="2" xfId="1" applyFont="1" applyFill="1" applyBorder="1"/>
    <xf numFmtId="37" fontId="3" fillId="2" borderId="2" xfId="0" applyNumberFormat="1" applyFont="1" applyFill="1" applyBorder="1"/>
    <xf numFmtId="37" fontId="4" fillId="0" borderId="0" xfId="0" applyNumberFormat="1" applyFont="1"/>
    <xf numFmtId="9" fontId="0" fillId="0" borderId="0" xfId="1" applyFont="1"/>
    <xf numFmtId="37" fontId="0" fillId="0" borderId="1" xfId="1" applyNumberFormat="1" applyFont="1" applyBorder="1"/>
    <xf numFmtId="37" fontId="0" fillId="0" borderId="0" xfId="1" applyNumberFormat="1" applyFont="1" applyBorder="1"/>
    <xf numFmtId="37" fontId="1" fillId="0" borderId="0" xfId="0" applyNumberFormat="1" applyFont="1" applyBorder="1"/>
    <xf numFmtId="9" fontId="0" fillId="0" borderId="0" xfId="0" applyNumberFormat="1"/>
    <xf numFmtId="165" fontId="0" fillId="0" borderId="0" xfId="0" applyNumberFormat="1"/>
    <xf numFmtId="2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K29"/>
  <sheetViews>
    <sheetView showGridLines="0" workbookViewId="0">
      <selection activeCell="M10" sqref="M10:M12"/>
    </sheetView>
  </sheetViews>
  <sheetFormatPr defaultRowHeight="15" x14ac:dyDescent="0.25"/>
  <sheetData>
    <row r="2" spans="2:11" x14ac:dyDescent="0.25">
      <c r="B2" t="s">
        <v>23</v>
      </c>
      <c r="E2" s="7">
        <v>0.45</v>
      </c>
    </row>
    <row r="3" spans="2:11" x14ac:dyDescent="0.25">
      <c r="B3" t="s">
        <v>24</v>
      </c>
      <c r="E3" s="7">
        <v>0.1</v>
      </c>
    </row>
    <row r="4" spans="2:11" x14ac:dyDescent="0.25">
      <c r="B4" t="s">
        <v>26</v>
      </c>
      <c r="E4" s="7">
        <v>0.08</v>
      </c>
    </row>
    <row r="5" spans="2:11" x14ac:dyDescent="0.25">
      <c r="B5" t="s">
        <v>30</v>
      </c>
      <c r="E5" s="14">
        <f>E3-E4</f>
        <v>2.0000000000000004E-2</v>
      </c>
    </row>
    <row r="8" spans="2:11" x14ac:dyDescent="0.25">
      <c r="B8" s="1" t="s">
        <v>12</v>
      </c>
    </row>
    <row r="9" spans="2:11" x14ac:dyDescent="0.25">
      <c r="B9" s="1" t="s">
        <v>0</v>
      </c>
      <c r="C9" s="1"/>
      <c r="D9" s="1"/>
      <c r="E9" s="1"/>
      <c r="F9" s="9">
        <v>0</v>
      </c>
      <c r="G9" s="9">
        <v>1</v>
      </c>
      <c r="H9" s="9">
        <v>2</v>
      </c>
      <c r="I9" s="9">
        <v>3</v>
      </c>
      <c r="J9" s="9">
        <v>4</v>
      </c>
      <c r="K9" s="9">
        <v>5</v>
      </c>
    </row>
    <row r="10" spans="2:11" x14ac:dyDescent="0.25">
      <c r="B10" t="s">
        <v>5</v>
      </c>
      <c r="F10" s="2">
        <f>'Plant in Service'!C55</f>
        <v>1005</v>
      </c>
      <c r="G10" s="2">
        <f>'Plant in Service'!D55</f>
        <v>1062</v>
      </c>
      <c r="H10" s="2">
        <f>'Plant in Service'!E55</f>
        <v>1122</v>
      </c>
      <c r="I10" s="2">
        <f>'Plant in Service'!F55</f>
        <v>1185</v>
      </c>
      <c r="J10" s="2">
        <f>'Plant in Service'!G55</f>
        <v>1251</v>
      </c>
      <c r="K10" s="2">
        <f>'Plant in Service'!H55</f>
        <v>1320</v>
      </c>
    </row>
    <row r="11" spans="2:11" x14ac:dyDescent="0.25">
      <c r="B11" t="s">
        <v>6</v>
      </c>
      <c r="F11" s="2">
        <f>-'Plant in Service'!L55</f>
        <v>-359.33749999999998</v>
      </c>
      <c r="G11" s="2">
        <f>-'Plant in Service'!M55</f>
        <v>-384.79999999999995</v>
      </c>
      <c r="H11" s="2">
        <f>-'Plant in Service'!N55</f>
        <v>-411.47500000000002</v>
      </c>
      <c r="I11" s="2">
        <f>-'Plant in Service'!O55</f>
        <v>-439.43750000000006</v>
      </c>
      <c r="J11" s="2">
        <f>-'Plant in Service'!P55</f>
        <v>-468.76249999999993</v>
      </c>
      <c r="K11" s="2">
        <f>-'Plant in Service'!Q55</f>
        <v>-499.52499999999998</v>
      </c>
    </row>
    <row r="12" spans="2:11" x14ac:dyDescent="0.25">
      <c r="B12" s="1" t="s">
        <v>1</v>
      </c>
      <c r="F12" s="3">
        <f t="shared" ref="F12:K12" si="0">SUM(F10:F11)</f>
        <v>645.66250000000002</v>
      </c>
      <c r="G12" s="3">
        <f t="shared" si="0"/>
        <v>677.2</v>
      </c>
      <c r="H12" s="3">
        <f t="shared" si="0"/>
        <v>710.52499999999998</v>
      </c>
      <c r="I12" s="3">
        <f t="shared" si="0"/>
        <v>745.5625</v>
      </c>
      <c r="J12" s="3">
        <f t="shared" si="0"/>
        <v>782.23750000000007</v>
      </c>
      <c r="K12" s="3">
        <f t="shared" si="0"/>
        <v>820.47500000000002</v>
      </c>
    </row>
    <row r="13" spans="2:11" x14ac:dyDescent="0.25">
      <c r="B13" t="s">
        <v>3</v>
      </c>
      <c r="F13" s="2">
        <v>21</v>
      </c>
      <c r="G13" s="2">
        <v>21</v>
      </c>
      <c r="H13" s="2">
        <v>21</v>
      </c>
      <c r="I13" s="2">
        <v>21</v>
      </c>
      <c r="J13" s="2">
        <v>21</v>
      </c>
      <c r="K13" s="2">
        <v>21</v>
      </c>
    </row>
    <row r="14" spans="2:11" x14ac:dyDescent="0.25">
      <c r="B14" t="s">
        <v>2</v>
      </c>
      <c r="F14" s="2">
        <v>-66</v>
      </c>
      <c r="G14" s="2">
        <v>-66</v>
      </c>
      <c r="H14" s="2">
        <v>-66</v>
      </c>
      <c r="I14" s="2">
        <v>-66</v>
      </c>
      <c r="J14" s="2">
        <v>-66</v>
      </c>
      <c r="K14" s="2">
        <v>-66</v>
      </c>
    </row>
    <row r="15" spans="2:11" x14ac:dyDescent="0.25">
      <c r="B15" t="s">
        <v>7</v>
      </c>
      <c r="F15" s="2">
        <f>-'Plant in Service'!AK15</f>
        <v>-168.9316177879351</v>
      </c>
      <c r="G15" s="2">
        <f>-'Plant in Service'!AL15</f>
        <v>-177.18379984505012</v>
      </c>
      <c r="H15" s="2">
        <f>-'Plant in Service'!AM15</f>
        <v>-185.83483630704228</v>
      </c>
      <c r="I15" s="2">
        <f>-'Plant in Service'!AN15</f>
        <v>-194.88280054431522</v>
      </c>
      <c r="J15" s="2">
        <f>-'Plant in Service'!AO15</f>
        <v>-204.36076239193042</v>
      </c>
      <c r="K15" s="2">
        <f>-'Plant in Service'!AP15</f>
        <v>-214.25839061883934</v>
      </c>
    </row>
    <row r="16" spans="2:11" x14ac:dyDescent="0.25">
      <c r="B16" s="1" t="s">
        <v>4</v>
      </c>
      <c r="F16" s="3">
        <f t="shared" ref="F16:K16" si="1">SUM(F12:F15)</f>
        <v>431.7308822120649</v>
      </c>
      <c r="G16" s="3">
        <f t="shared" si="1"/>
        <v>455.01620015494996</v>
      </c>
      <c r="H16" s="3">
        <f t="shared" si="1"/>
        <v>479.6901636929577</v>
      </c>
      <c r="I16" s="3">
        <f t="shared" si="1"/>
        <v>505.67969945568478</v>
      </c>
      <c r="J16" s="3">
        <f t="shared" si="1"/>
        <v>532.87673760806967</v>
      </c>
      <c r="K16" s="3">
        <f t="shared" si="1"/>
        <v>561.21660938116065</v>
      </c>
    </row>
    <row r="19" spans="2:11" x14ac:dyDescent="0.25">
      <c r="B19" s="1" t="s">
        <v>29</v>
      </c>
    </row>
    <row r="20" spans="2:11" x14ac:dyDescent="0.25">
      <c r="B20" s="1"/>
      <c r="F20" s="9">
        <v>0</v>
      </c>
      <c r="G20" s="9">
        <v>1</v>
      </c>
      <c r="H20" s="9">
        <v>2</v>
      </c>
      <c r="I20" s="9">
        <v>3</v>
      </c>
      <c r="J20" s="9">
        <v>4</v>
      </c>
      <c r="K20" s="9">
        <v>5</v>
      </c>
    </row>
    <row r="21" spans="2:11" x14ac:dyDescent="0.25">
      <c r="B21" t="s">
        <v>4</v>
      </c>
      <c r="F21" s="2">
        <f t="shared" ref="F21:K21" si="2">F$16</f>
        <v>431.7308822120649</v>
      </c>
      <c r="G21" s="2">
        <f t="shared" si="2"/>
        <v>455.01620015494996</v>
      </c>
      <c r="H21" s="2">
        <f t="shared" si="2"/>
        <v>479.6901636929577</v>
      </c>
      <c r="I21" s="2">
        <f t="shared" si="2"/>
        <v>505.67969945568478</v>
      </c>
      <c r="J21" s="2">
        <f t="shared" si="2"/>
        <v>532.87673760806967</v>
      </c>
      <c r="K21" s="2">
        <f t="shared" si="2"/>
        <v>561.21660938116065</v>
      </c>
    </row>
    <row r="22" spans="2:11" x14ac:dyDescent="0.25">
      <c r="B22" t="s">
        <v>23</v>
      </c>
      <c r="F22" s="10">
        <f t="shared" ref="F22:K22" si="3">$E$2</f>
        <v>0.45</v>
      </c>
      <c r="G22" s="10">
        <f t="shared" si="3"/>
        <v>0.45</v>
      </c>
      <c r="H22" s="10">
        <f t="shared" si="3"/>
        <v>0.45</v>
      </c>
      <c r="I22" s="10">
        <f t="shared" si="3"/>
        <v>0.45</v>
      </c>
      <c r="J22" s="10">
        <f t="shared" si="3"/>
        <v>0.45</v>
      </c>
      <c r="K22" s="10">
        <f t="shared" si="3"/>
        <v>0.45</v>
      </c>
    </row>
    <row r="23" spans="2:11" x14ac:dyDescent="0.25">
      <c r="B23" t="s">
        <v>28</v>
      </c>
      <c r="F23" s="11">
        <f t="shared" ref="F23:K23" si="4">F21*F22</f>
        <v>194.27889699542922</v>
      </c>
      <c r="G23" s="11">
        <f t="shared" si="4"/>
        <v>204.75729006972747</v>
      </c>
      <c r="H23" s="11">
        <f t="shared" si="4"/>
        <v>215.86057366183095</v>
      </c>
      <c r="I23" s="11">
        <f t="shared" si="4"/>
        <v>227.55586475505817</v>
      </c>
      <c r="J23" s="11">
        <f t="shared" si="4"/>
        <v>239.79453192363135</v>
      </c>
      <c r="K23" s="11">
        <f t="shared" si="4"/>
        <v>252.54747422152229</v>
      </c>
    </row>
    <row r="24" spans="2:11" x14ac:dyDescent="0.25">
      <c r="F24" s="12"/>
      <c r="G24" s="12"/>
      <c r="H24" s="12"/>
      <c r="I24" s="12"/>
      <c r="J24" s="12"/>
      <c r="K24" s="12"/>
    </row>
    <row r="25" spans="2:11" x14ac:dyDescent="0.25">
      <c r="B25" t="s">
        <v>24</v>
      </c>
      <c r="F25" s="10">
        <f t="shared" ref="F25:K25" si="5">$E$3</f>
        <v>0.1</v>
      </c>
      <c r="G25" s="10">
        <f t="shared" si="5"/>
        <v>0.1</v>
      </c>
      <c r="H25" s="10">
        <f t="shared" si="5"/>
        <v>0.1</v>
      </c>
      <c r="I25" s="10">
        <f t="shared" si="5"/>
        <v>0.1</v>
      </c>
      <c r="J25" s="10">
        <f t="shared" si="5"/>
        <v>0.1</v>
      </c>
      <c r="K25" s="10">
        <f t="shared" si="5"/>
        <v>0.1</v>
      </c>
    </row>
    <row r="26" spans="2:11" x14ac:dyDescent="0.25">
      <c r="B26" s="1" t="s">
        <v>25</v>
      </c>
      <c r="F26" s="3">
        <f t="shared" ref="F26:K26" si="6">F23*F25</f>
        <v>19.427889699542924</v>
      </c>
      <c r="G26" s="3">
        <f t="shared" si="6"/>
        <v>20.475729006972749</v>
      </c>
      <c r="H26" s="3">
        <f t="shared" si="6"/>
        <v>21.586057366183098</v>
      </c>
      <c r="I26" s="3">
        <f t="shared" si="6"/>
        <v>22.755586475505819</v>
      </c>
      <c r="J26" s="3">
        <f t="shared" si="6"/>
        <v>23.979453192363138</v>
      </c>
      <c r="K26" s="3">
        <f t="shared" si="6"/>
        <v>25.254747422152231</v>
      </c>
    </row>
    <row r="27" spans="2:11" x14ac:dyDescent="0.25">
      <c r="B27" s="1"/>
      <c r="F27" s="13"/>
      <c r="G27" s="13"/>
      <c r="H27" s="13"/>
      <c r="I27" s="13"/>
      <c r="J27" s="13"/>
      <c r="K27" s="13"/>
    </row>
    <row r="28" spans="2:11" x14ac:dyDescent="0.25">
      <c r="B28" t="s">
        <v>26</v>
      </c>
      <c r="F28" s="10">
        <f t="shared" ref="F28:K28" si="7">$E$4</f>
        <v>0.08</v>
      </c>
      <c r="G28" s="10">
        <f t="shared" si="7"/>
        <v>0.08</v>
      </c>
      <c r="H28" s="10">
        <f t="shared" si="7"/>
        <v>0.08</v>
      </c>
      <c r="I28" s="10">
        <f t="shared" si="7"/>
        <v>0.08</v>
      </c>
      <c r="J28" s="10">
        <f t="shared" si="7"/>
        <v>0.08</v>
      </c>
      <c r="K28" s="10">
        <f t="shared" si="7"/>
        <v>0.08</v>
      </c>
    </row>
    <row r="29" spans="2:11" x14ac:dyDescent="0.25">
      <c r="B29" s="1" t="s">
        <v>27</v>
      </c>
      <c r="F29" s="3">
        <f t="shared" ref="F29:K29" si="8">F23*F28</f>
        <v>15.542311759634337</v>
      </c>
      <c r="G29" s="3">
        <f t="shared" si="8"/>
        <v>16.380583205578198</v>
      </c>
      <c r="H29" s="3">
        <f t="shared" si="8"/>
        <v>17.268845892946477</v>
      </c>
      <c r="I29" s="3">
        <f t="shared" si="8"/>
        <v>18.204469180404654</v>
      </c>
      <c r="J29" s="3">
        <f t="shared" si="8"/>
        <v>19.183562553890507</v>
      </c>
      <c r="K29" s="3">
        <f t="shared" si="8"/>
        <v>20.203797937721784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P55"/>
  <sheetViews>
    <sheetView showGridLines="0" tabSelected="1" topLeftCell="W33" workbookViewId="0">
      <selection activeCell="AG43" sqref="AG43"/>
    </sheetView>
  </sheetViews>
  <sheetFormatPr defaultRowHeight="15" x14ac:dyDescent="0.25"/>
  <sheetData>
    <row r="2" spans="2:42" x14ac:dyDescent="0.25">
      <c r="B2" t="s">
        <v>9</v>
      </c>
      <c r="D2" s="8">
        <v>40</v>
      </c>
    </row>
    <row r="3" spans="2:42" x14ac:dyDescent="0.25">
      <c r="B3" t="s">
        <v>10</v>
      </c>
      <c r="D3" s="8">
        <v>20</v>
      </c>
    </row>
    <row r="4" spans="2:42" x14ac:dyDescent="0.25">
      <c r="B4" t="s">
        <v>8</v>
      </c>
      <c r="D4" s="8">
        <v>0.5</v>
      </c>
    </row>
    <row r="5" spans="2:42" x14ac:dyDescent="0.25">
      <c r="B5" t="s">
        <v>11</v>
      </c>
      <c r="D5" s="7">
        <v>0.35</v>
      </c>
    </row>
    <row r="8" spans="2:42" x14ac:dyDescent="0.25">
      <c r="B8" s="1" t="s">
        <v>22</v>
      </c>
      <c r="D8" s="8">
        <v>57</v>
      </c>
      <c r="E8" s="8">
        <v>60</v>
      </c>
      <c r="F8" s="8">
        <v>63</v>
      </c>
      <c r="G8" s="8">
        <v>66</v>
      </c>
      <c r="H8" s="8">
        <v>69</v>
      </c>
    </row>
    <row r="11" spans="2:42" x14ac:dyDescent="0.25">
      <c r="B11" s="1" t="s">
        <v>14</v>
      </c>
      <c r="K11" s="1" t="s">
        <v>16</v>
      </c>
      <c r="S11" s="1" t="s">
        <v>31</v>
      </c>
      <c r="V11" s="1" t="s">
        <v>17</v>
      </c>
      <c r="W11" s="1"/>
      <c r="X11" s="1"/>
      <c r="Y11" s="1"/>
      <c r="Z11" s="1"/>
      <c r="AA11" s="1"/>
      <c r="AB11" s="1"/>
      <c r="AD11" s="1" t="s">
        <v>32</v>
      </c>
      <c r="AG11" s="1" t="s">
        <v>31</v>
      </c>
      <c r="AJ11" s="1" t="s">
        <v>18</v>
      </c>
    </row>
    <row r="12" spans="2:42" x14ac:dyDescent="0.25">
      <c r="B12" s="1" t="s">
        <v>13</v>
      </c>
      <c r="C12" s="9">
        <v>0</v>
      </c>
      <c r="D12" s="9">
        <v>1</v>
      </c>
      <c r="E12" s="9">
        <v>2</v>
      </c>
      <c r="F12" s="9">
        <v>3</v>
      </c>
      <c r="G12" s="9">
        <v>4</v>
      </c>
      <c r="H12" s="9">
        <v>5</v>
      </c>
      <c r="K12" s="1" t="s">
        <v>13</v>
      </c>
      <c r="L12" s="9">
        <v>0</v>
      </c>
      <c r="M12" s="9">
        <v>1</v>
      </c>
      <c r="N12" s="9">
        <v>2</v>
      </c>
      <c r="O12" s="9">
        <v>3</v>
      </c>
      <c r="P12" s="9">
        <v>4</v>
      </c>
      <c r="Q12" s="9">
        <v>5</v>
      </c>
      <c r="S12" s="1" t="s">
        <v>34</v>
      </c>
      <c r="V12" s="1" t="s">
        <v>13</v>
      </c>
      <c r="W12" s="9">
        <v>0</v>
      </c>
      <c r="X12" s="9">
        <v>1</v>
      </c>
      <c r="Y12" s="9">
        <v>2</v>
      </c>
      <c r="Z12" s="9">
        <v>3</v>
      </c>
      <c r="AA12" s="9">
        <v>4</v>
      </c>
      <c r="AB12" s="9">
        <v>5</v>
      </c>
      <c r="AD12" s="1" t="s">
        <v>31</v>
      </c>
      <c r="AG12" s="1" t="s">
        <v>33</v>
      </c>
      <c r="AJ12" s="1"/>
      <c r="AK12" s="9">
        <v>0</v>
      </c>
      <c r="AL12" s="9">
        <v>1</v>
      </c>
      <c r="AM12" s="9">
        <v>2</v>
      </c>
      <c r="AN12" s="9">
        <v>3</v>
      </c>
      <c r="AO12" s="9">
        <v>4</v>
      </c>
      <c r="AP12" s="9">
        <v>5</v>
      </c>
    </row>
    <row r="13" spans="2:42" x14ac:dyDescent="0.25">
      <c r="B13" s="6">
        <v>1</v>
      </c>
      <c r="C13" s="8">
        <v>54</v>
      </c>
      <c r="D13" s="2">
        <f>D8</f>
        <v>57</v>
      </c>
      <c r="E13" s="2">
        <f>E8</f>
        <v>60</v>
      </c>
      <c r="F13" s="2">
        <f>F8</f>
        <v>63</v>
      </c>
      <c r="G13" s="2">
        <f>G8</f>
        <v>66</v>
      </c>
      <c r="H13" s="2">
        <f>H8</f>
        <v>69</v>
      </c>
      <c r="K13" s="6">
        <v>1</v>
      </c>
      <c r="L13" s="2">
        <f>C13*$S13</f>
        <v>0.67500000000000004</v>
      </c>
      <c r="M13" s="2">
        <f t="shared" ref="M13:Q13" si="0">D13*$S13</f>
        <v>0.71250000000000002</v>
      </c>
      <c r="N13" s="2">
        <f t="shared" si="0"/>
        <v>0.75</v>
      </c>
      <c r="O13" s="2">
        <f t="shared" si="0"/>
        <v>0.78750000000000009</v>
      </c>
      <c r="P13" s="2">
        <f t="shared" si="0"/>
        <v>0.82500000000000007</v>
      </c>
      <c r="Q13" s="2">
        <f t="shared" si="0"/>
        <v>0.86250000000000004</v>
      </c>
      <c r="S13" s="15">
        <f>MIN(1,($K13-(1-$D$4))/$D$2)</f>
        <v>1.2500000000000001E-2</v>
      </c>
      <c r="V13" s="6">
        <v>1</v>
      </c>
      <c r="W13" s="2">
        <f>$AG13*C13</f>
        <v>29.564999999999998</v>
      </c>
      <c r="X13" s="2">
        <f t="shared" ref="X13:AB13" si="1">$AG13*D13</f>
        <v>31.2075</v>
      </c>
      <c r="Y13" s="2">
        <f t="shared" si="1"/>
        <v>32.85</v>
      </c>
      <c r="Z13" s="2">
        <f t="shared" si="1"/>
        <v>34.4925</v>
      </c>
      <c r="AA13" s="2">
        <f t="shared" si="1"/>
        <v>36.134999999999998</v>
      </c>
      <c r="AB13" s="2">
        <f>$AG13*H13</f>
        <v>37.777499999999996</v>
      </c>
      <c r="AD13" s="7">
        <v>0.5</v>
      </c>
      <c r="AG13" s="16">
        <f>IFERROR(macrs($D$3,$D$4,$AD13,$V13,TRUE),1)</f>
        <v>0.54749999999999999</v>
      </c>
      <c r="AJ13" s="5" t="s">
        <v>20</v>
      </c>
      <c r="AK13" s="2">
        <f>L55</f>
        <v>359.33749999999998</v>
      </c>
      <c r="AL13" s="2">
        <f>M55</f>
        <v>384.79999999999995</v>
      </c>
      <c r="AM13" s="2">
        <f>N55</f>
        <v>411.47500000000002</v>
      </c>
      <c r="AN13" s="2">
        <f>O55</f>
        <v>439.43750000000006</v>
      </c>
      <c r="AO13" s="2">
        <f>P55</f>
        <v>468.76249999999993</v>
      </c>
      <c r="AP13" s="2">
        <f>Q55</f>
        <v>499.52499999999998</v>
      </c>
    </row>
    <row r="14" spans="2:42" x14ac:dyDescent="0.25">
      <c r="B14" s="6">
        <v>2</v>
      </c>
      <c r="C14" s="8">
        <v>51</v>
      </c>
      <c r="D14" s="2">
        <f>C13</f>
        <v>54</v>
      </c>
      <c r="E14" s="2">
        <f t="shared" ref="E14:H29" si="2">D13</f>
        <v>57</v>
      </c>
      <c r="F14" s="2">
        <f t="shared" si="2"/>
        <v>60</v>
      </c>
      <c r="G14" s="2">
        <f t="shared" si="2"/>
        <v>63</v>
      </c>
      <c r="H14" s="2">
        <f t="shared" si="2"/>
        <v>66</v>
      </c>
      <c r="K14" s="6">
        <v>2</v>
      </c>
      <c r="L14" s="2">
        <f t="shared" ref="L14:L54" si="3">C14*$S14</f>
        <v>1.9124999999999999</v>
      </c>
      <c r="M14" s="2">
        <f t="shared" ref="M14:M54" si="4">D14*$S14</f>
        <v>2.0249999999999999</v>
      </c>
      <c r="N14" s="2">
        <f t="shared" ref="N14:N54" si="5">E14*$S14</f>
        <v>2.1374999999999997</v>
      </c>
      <c r="O14" s="2">
        <f t="shared" ref="O14:O54" si="6">F14*$S14</f>
        <v>2.25</v>
      </c>
      <c r="P14" s="2">
        <f t="shared" ref="P14:P54" si="7">G14*$S14</f>
        <v>2.3624999999999998</v>
      </c>
      <c r="Q14" s="2">
        <f t="shared" ref="Q14:Q54" si="8">H14*$S14</f>
        <v>2.4750000000000001</v>
      </c>
      <c r="S14" s="15">
        <f t="shared" ref="S14:S54" si="9">MIN(1,($K14-(1-$D$4))/$D$2)</f>
        <v>3.7499999999999999E-2</v>
      </c>
      <c r="V14" s="6">
        <v>2</v>
      </c>
      <c r="W14" s="2">
        <f t="shared" ref="W14:W54" si="10">$AG14*C14</f>
        <v>30.102749999999997</v>
      </c>
      <c r="X14" s="2">
        <f t="shared" ref="X14:X54" si="11">$AG14*D14</f>
        <v>31.873499999999996</v>
      </c>
      <c r="Y14" s="2">
        <f t="shared" ref="Y14:Y54" si="12">$AG14*E14</f>
        <v>33.64425</v>
      </c>
      <c r="Z14" s="2">
        <f t="shared" ref="Z14:Z54" si="13">$AG14*F14</f>
        <v>35.414999999999999</v>
      </c>
      <c r="AA14" s="2">
        <f t="shared" ref="AA14:AA54" si="14">$AG14*G14</f>
        <v>37.185749999999999</v>
      </c>
      <c r="AB14" s="2">
        <f t="shared" ref="AB14:AB54" si="15">$AG14*H14</f>
        <v>38.956499999999998</v>
      </c>
      <c r="AD14" s="7">
        <v>0.5</v>
      </c>
      <c r="AG14" s="16">
        <f t="shared" ref="AG14:AG54" si="16">IFERROR(macrs($D$3,$D$4,$AD14,$V14,TRUE),1)</f>
        <v>0.59024999999999994</v>
      </c>
      <c r="AJ14" s="5" t="s">
        <v>21</v>
      </c>
      <c r="AK14" s="2">
        <f>W55</f>
        <v>841.999265108386</v>
      </c>
      <c r="AL14" s="2">
        <f>X55</f>
        <v>891.03942812871458</v>
      </c>
      <c r="AM14" s="2">
        <f>Y55</f>
        <v>942.43167516297797</v>
      </c>
      <c r="AN14" s="2">
        <f>Z55</f>
        <v>996.24550155518648</v>
      </c>
      <c r="AO14" s="2">
        <f>AA55</f>
        <v>1052.6503925483726</v>
      </c>
      <c r="AP14" s="2">
        <f>AB55</f>
        <v>1111.691830339541</v>
      </c>
    </row>
    <row r="15" spans="2:42" x14ac:dyDescent="0.25">
      <c r="B15" s="6">
        <v>3</v>
      </c>
      <c r="C15" s="8">
        <v>49</v>
      </c>
      <c r="D15" s="2">
        <f t="shared" ref="D15:H53" si="17">C14</f>
        <v>51</v>
      </c>
      <c r="E15" s="2">
        <f t="shared" si="2"/>
        <v>54</v>
      </c>
      <c r="F15" s="2">
        <f t="shared" si="2"/>
        <v>57</v>
      </c>
      <c r="G15" s="2">
        <f t="shared" si="2"/>
        <v>60</v>
      </c>
      <c r="H15" s="2">
        <f t="shared" si="2"/>
        <v>63</v>
      </c>
      <c r="K15" s="6">
        <v>3</v>
      </c>
      <c r="L15" s="2">
        <f t="shared" si="3"/>
        <v>3.0625</v>
      </c>
      <c r="M15" s="2">
        <f t="shared" si="4"/>
        <v>3.1875</v>
      </c>
      <c r="N15" s="2">
        <f t="shared" si="5"/>
        <v>3.375</v>
      </c>
      <c r="O15" s="2">
        <f t="shared" si="6"/>
        <v>3.5625</v>
      </c>
      <c r="P15" s="2">
        <f t="shared" si="7"/>
        <v>3.75</v>
      </c>
      <c r="Q15" s="2">
        <f t="shared" si="8"/>
        <v>3.9375</v>
      </c>
      <c r="S15" s="15">
        <f t="shared" si="9"/>
        <v>6.25E-2</v>
      </c>
      <c r="V15" s="6">
        <v>3</v>
      </c>
      <c r="W15" s="2">
        <f t="shared" si="10"/>
        <v>30.807524999999998</v>
      </c>
      <c r="X15" s="2">
        <f t="shared" si="11"/>
        <v>32.064974999999997</v>
      </c>
      <c r="Y15" s="2">
        <f t="shared" si="12"/>
        <v>33.951149999999998</v>
      </c>
      <c r="Z15" s="2">
        <f t="shared" si="13"/>
        <v>35.837325</v>
      </c>
      <c r="AA15" s="2">
        <f t="shared" si="14"/>
        <v>37.723500000000001</v>
      </c>
      <c r="AB15" s="2">
        <f t="shared" si="15"/>
        <v>39.609674999999996</v>
      </c>
      <c r="AD15" s="7">
        <v>0.5</v>
      </c>
      <c r="AG15" s="16">
        <f t="shared" si="16"/>
        <v>0.62872499999999998</v>
      </c>
      <c r="AJ15" s="1" t="s">
        <v>19</v>
      </c>
      <c r="AK15" s="3">
        <f t="shared" ref="AK15:AP15" si="18">(AK14-AK13)*$D$5</f>
        <v>168.9316177879351</v>
      </c>
      <c r="AL15" s="3">
        <f t="shared" si="18"/>
        <v>177.18379984505012</v>
      </c>
      <c r="AM15" s="3">
        <f t="shared" si="18"/>
        <v>185.83483630704228</v>
      </c>
      <c r="AN15" s="3">
        <f t="shared" si="18"/>
        <v>194.88280054431522</v>
      </c>
      <c r="AO15" s="3">
        <f t="shared" si="18"/>
        <v>204.36076239193042</v>
      </c>
      <c r="AP15" s="3">
        <f t="shared" si="18"/>
        <v>214.25839061883934</v>
      </c>
    </row>
    <row r="16" spans="2:42" x14ac:dyDescent="0.25">
      <c r="B16" s="6">
        <v>4</v>
      </c>
      <c r="C16" s="8">
        <v>47</v>
      </c>
      <c r="D16" s="2">
        <f t="shared" si="17"/>
        <v>49</v>
      </c>
      <c r="E16" s="2">
        <f t="shared" si="2"/>
        <v>51</v>
      </c>
      <c r="F16" s="2">
        <f t="shared" si="2"/>
        <v>54</v>
      </c>
      <c r="G16" s="2">
        <f t="shared" si="2"/>
        <v>57</v>
      </c>
      <c r="H16" s="2">
        <f t="shared" si="2"/>
        <v>60</v>
      </c>
      <c r="K16" s="6">
        <v>4</v>
      </c>
      <c r="L16" s="2">
        <f t="shared" si="3"/>
        <v>4.1124999999999998</v>
      </c>
      <c r="M16" s="2">
        <f t="shared" si="4"/>
        <v>4.2874999999999996</v>
      </c>
      <c r="N16" s="2">
        <f t="shared" si="5"/>
        <v>4.4624999999999995</v>
      </c>
      <c r="O16" s="2">
        <f t="shared" si="6"/>
        <v>4.7249999999999996</v>
      </c>
      <c r="P16" s="2">
        <f t="shared" si="7"/>
        <v>4.9874999999999998</v>
      </c>
      <c r="Q16" s="2">
        <f t="shared" si="8"/>
        <v>5.25</v>
      </c>
      <c r="S16" s="15">
        <f t="shared" si="9"/>
        <v>8.7499999999999994E-2</v>
      </c>
      <c r="V16" s="6">
        <v>4</v>
      </c>
      <c r="W16" s="2">
        <f t="shared" si="10"/>
        <v>31.177567500000002</v>
      </c>
      <c r="X16" s="2">
        <f t="shared" si="11"/>
        <v>32.504272499999999</v>
      </c>
      <c r="Y16" s="2">
        <f t="shared" si="12"/>
        <v>33.830977500000003</v>
      </c>
      <c r="Z16" s="2">
        <f t="shared" si="13"/>
        <v>35.821035000000002</v>
      </c>
      <c r="AA16" s="2">
        <f t="shared" si="14"/>
        <v>37.811092500000001</v>
      </c>
      <c r="AB16" s="2">
        <f t="shared" si="15"/>
        <v>39.80115</v>
      </c>
      <c r="AD16" s="7">
        <v>0.5</v>
      </c>
      <c r="AG16" s="16">
        <f t="shared" si="16"/>
        <v>0.66335250000000001</v>
      </c>
    </row>
    <row r="17" spans="2:33" x14ac:dyDescent="0.25">
      <c r="B17" s="6">
        <v>5</v>
      </c>
      <c r="C17" s="8">
        <v>45</v>
      </c>
      <c r="D17" s="2">
        <f t="shared" si="17"/>
        <v>47</v>
      </c>
      <c r="E17" s="2">
        <f t="shared" si="2"/>
        <v>49</v>
      </c>
      <c r="F17" s="2">
        <f t="shared" si="2"/>
        <v>51</v>
      </c>
      <c r="G17" s="2">
        <f t="shared" si="2"/>
        <v>54</v>
      </c>
      <c r="H17" s="2">
        <f t="shared" si="2"/>
        <v>57</v>
      </c>
      <c r="K17" s="6">
        <v>5</v>
      </c>
      <c r="L17" s="2">
        <f t="shared" si="3"/>
        <v>5.0625</v>
      </c>
      <c r="M17" s="2">
        <f t="shared" si="4"/>
        <v>5.2875000000000005</v>
      </c>
      <c r="N17" s="2">
        <f t="shared" si="5"/>
        <v>5.5125000000000002</v>
      </c>
      <c r="O17" s="2">
        <f t="shared" si="6"/>
        <v>5.7374999999999998</v>
      </c>
      <c r="P17" s="2">
        <f t="shared" si="7"/>
        <v>6.0750000000000002</v>
      </c>
      <c r="Q17" s="2">
        <f t="shared" si="8"/>
        <v>6.4125000000000005</v>
      </c>
      <c r="S17" s="15">
        <f t="shared" si="9"/>
        <v>0.1125</v>
      </c>
      <c r="V17" s="6">
        <v>5</v>
      </c>
      <c r="W17" s="2">
        <f t="shared" si="10"/>
        <v>31.253276249999999</v>
      </c>
      <c r="X17" s="2">
        <f t="shared" si="11"/>
        <v>32.64231075</v>
      </c>
      <c r="Y17" s="2">
        <f t="shared" si="12"/>
        <v>34.031345250000001</v>
      </c>
      <c r="Z17" s="2">
        <f t="shared" si="13"/>
        <v>35.420379750000002</v>
      </c>
      <c r="AA17" s="2">
        <f t="shared" si="14"/>
        <v>37.5039315</v>
      </c>
      <c r="AB17" s="2">
        <f t="shared" si="15"/>
        <v>39.587483249999998</v>
      </c>
      <c r="AD17" s="7">
        <v>0.5</v>
      </c>
      <c r="AG17" s="16">
        <f t="shared" si="16"/>
        <v>0.69451724999999997</v>
      </c>
    </row>
    <row r="18" spans="2:33" x14ac:dyDescent="0.25">
      <c r="B18" s="6">
        <v>6</v>
      </c>
      <c r="C18" s="8">
        <v>43</v>
      </c>
      <c r="D18" s="2">
        <f t="shared" si="17"/>
        <v>45</v>
      </c>
      <c r="E18" s="2">
        <f t="shared" si="2"/>
        <v>47</v>
      </c>
      <c r="F18" s="2">
        <f t="shared" si="2"/>
        <v>49</v>
      </c>
      <c r="G18" s="2">
        <f t="shared" si="2"/>
        <v>51</v>
      </c>
      <c r="H18" s="2">
        <f t="shared" si="2"/>
        <v>54</v>
      </c>
      <c r="K18" s="6">
        <v>6</v>
      </c>
      <c r="L18" s="2">
        <f t="shared" si="3"/>
        <v>5.9125000000000005</v>
      </c>
      <c r="M18" s="2">
        <f t="shared" si="4"/>
        <v>6.1875000000000009</v>
      </c>
      <c r="N18" s="2">
        <f t="shared" si="5"/>
        <v>6.4625000000000004</v>
      </c>
      <c r="O18" s="2">
        <f t="shared" si="6"/>
        <v>6.7375000000000007</v>
      </c>
      <c r="P18" s="2">
        <f t="shared" si="7"/>
        <v>7.0125000000000002</v>
      </c>
      <c r="Q18" s="2">
        <f t="shared" si="8"/>
        <v>7.4250000000000007</v>
      </c>
      <c r="S18" s="15">
        <f t="shared" si="9"/>
        <v>0.13750000000000001</v>
      </c>
      <c r="V18" s="6">
        <v>6</v>
      </c>
      <c r="W18" s="2">
        <f t="shared" si="10"/>
        <v>31.070317574999997</v>
      </c>
      <c r="X18" s="2">
        <f t="shared" si="11"/>
        <v>32.515448624999998</v>
      </c>
      <c r="Y18" s="2">
        <f t="shared" si="12"/>
        <v>33.960579674999998</v>
      </c>
      <c r="Z18" s="2">
        <f t="shared" si="13"/>
        <v>35.405710724999999</v>
      </c>
      <c r="AA18" s="2">
        <f t="shared" si="14"/>
        <v>36.850841774999999</v>
      </c>
      <c r="AB18" s="2">
        <f t="shared" si="15"/>
        <v>39.018538349999993</v>
      </c>
      <c r="AD18" s="7">
        <v>0.5</v>
      </c>
      <c r="AG18" s="16">
        <f t="shared" si="16"/>
        <v>0.72256552499999993</v>
      </c>
    </row>
    <row r="19" spans="2:33" x14ac:dyDescent="0.25">
      <c r="B19" s="6">
        <v>7</v>
      </c>
      <c r="C19" s="8">
        <v>41</v>
      </c>
      <c r="D19" s="2">
        <f t="shared" si="17"/>
        <v>43</v>
      </c>
      <c r="E19" s="2">
        <f t="shared" si="2"/>
        <v>45</v>
      </c>
      <c r="F19" s="2">
        <f t="shared" si="2"/>
        <v>47</v>
      </c>
      <c r="G19" s="2">
        <f t="shared" si="2"/>
        <v>49</v>
      </c>
      <c r="H19" s="2">
        <f t="shared" si="2"/>
        <v>51</v>
      </c>
      <c r="K19" s="6">
        <v>7</v>
      </c>
      <c r="L19" s="2">
        <f t="shared" si="3"/>
        <v>6.6625000000000005</v>
      </c>
      <c r="M19" s="2">
        <f t="shared" si="4"/>
        <v>6.9874999999999998</v>
      </c>
      <c r="N19" s="2">
        <f t="shared" si="5"/>
        <v>7.3125</v>
      </c>
      <c r="O19" s="2">
        <f t="shared" si="6"/>
        <v>7.6375000000000002</v>
      </c>
      <c r="P19" s="2">
        <f t="shared" si="7"/>
        <v>7.9625000000000004</v>
      </c>
      <c r="Q19" s="2">
        <f t="shared" si="8"/>
        <v>8.2874999999999996</v>
      </c>
      <c r="S19" s="15">
        <f t="shared" si="9"/>
        <v>0.16250000000000001</v>
      </c>
      <c r="V19" s="6">
        <v>7</v>
      </c>
      <c r="W19" s="2">
        <f t="shared" si="10"/>
        <v>41</v>
      </c>
      <c r="X19" s="2">
        <f t="shared" si="11"/>
        <v>43</v>
      </c>
      <c r="Y19" s="2">
        <f t="shared" si="12"/>
        <v>45</v>
      </c>
      <c r="Z19" s="2">
        <f t="shared" si="13"/>
        <v>47</v>
      </c>
      <c r="AA19" s="2">
        <f t="shared" si="14"/>
        <v>49</v>
      </c>
      <c r="AB19" s="2">
        <f t="shared" si="15"/>
        <v>51</v>
      </c>
      <c r="AD19" s="7">
        <v>1</v>
      </c>
      <c r="AG19" s="16">
        <f t="shared" si="16"/>
        <v>1</v>
      </c>
    </row>
    <row r="20" spans="2:33" x14ac:dyDescent="0.25">
      <c r="B20" s="6">
        <v>8</v>
      </c>
      <c r="C20" s="8">
        <v>39</v>
      </c>
      <c r="D20" s="2">
        <f t="shared" si="17"/>
        <v>41</v>
      </c>
      <c r="E20" s="2">
        <f t="shared" si="2"/>
        <v>43</v>
      </c>
      <c r="F20" s="2">
        <f t="shared" si="2"/>
        <v>45</v>
      </c>
      <c r="G20" s="2">
        <f t="shared" si="2"/>
        <v>47</v>
      </c>
      <c r="H20" s="2">
        <f t="shared" si="2"/>
        <v>49</v>
      </c>
      <c r="K20" s="6">
        <v>8</v>
      </c>
      <c r="L20" s="2">
        <f t="shared" si="3"/>
        <v>7.3125</v>
      </c>
      <c r="M20" s="2">
        <f t="shared" si="4"/>
        <v>7.6875</v>
      </c>
      <c r="N20" s="2">
        <f t="shared" si="5"/>
        <v>8.0625</v>
      </c>
      <c r="O20" s="2">
        <f t="shared" si="6"/>
        <v>8.4375</v>
      </c>
      <c r="P20" s="2">
        <f t="shared" si="7"/>
        <v>8.8125</v>
      </c>
      <c r="Q20" s="2">
        <f t="shared" si="8"/>
        <v>9.1875</v>
      </c>
      <c r="S20" s="15">
        <f t="shared" si="9"/>
        <v>0.1875</v>
      </c>
      <c r="V20" s="6">
        <v>8</v>
      </c>
      <c r="W20" s="2">
        <f t="shared" si="10"/>
        <v>39</v>
      </c>
      <c r="X20" s="2">
        <f t="shared" si="11"/>
        <v>41</v>
      </c>
      <c r="Y20" s="2">
        <f t="shared" si="12"/>
        <v>43</v>
      </c>
      <c r="Z20" s="2">
        <f t="shared" si="13"/>
        <v>45</v>
      </c>
      <c r="AA20" s="2">
        <f t="shared" si="14"/>
        <v>47</v>
      </c>
      <c r="AB20" s="2">
        <f t="shared" si="15"/>
        <v>49</v>
      </c>
      <c r="AD20" s="7">
        <v>1</v>
      </c>
      <c r="AG20" s="16">
        <f t="shared" si="16"/>
        <v>1</v>
      </c>
    </row>
    <row r="21" spans="2:33" x14ac:dyDescent="0.25">
      <c r="B21" s="6">
        <v>9</v>
      </c>
      <c r="C21" s="8">
        <v>37</v>
      </c>
      <c r="D21" s="2">
        <f t="shared" si="17"/>
        <v>39</v>
      </c>
      <c r="E21" s="2">
        <f t="shared" si="2"/>
        <v>41</v>
      </c>
      <c r="F21" s="2">
        <f t="shared" si="2"/>
        <v>43</v>
      </c>
      <c r="G21" s="2">
        <f t="shared" si="2"/>
        <v>45</v>
      </c>
      <c r="H21" s="2">
        <f t="shared" si="2"/>
        <v>47</v>
      </c>
      <c r="K21" s="6">
        <v>9</v>
      </c>
      <c r="L21" s="2">
        <f t="shared" si="3"/>
        <v>7.8624999999999998</v>
      </c>
      <c r="M21" s="2">
        <f t="shared" si="4"/>
        <v>8.2874999999999996</v>
      </c>
      <c r="N21" s="2">
        <f t="shared" si="5"/>
        <v>8.7125000000000004</v>
      </c>
      <c r="O21" s="2">
        <f t="shared" si="6"/>
        <v>9.1374999999999993</v>
      </c>
      <c r="P21" s="2">
        <f t="shared" si="7"/>
        <v>9.5625</v>
      </c>
      <c r="Q21" s="2">
        <f t="shared" si="8"/>
        <v>9.9874999999999989</v>
      </c>
      <c r="S21" s="15">
        <f t="shared" si="9"/>
        <v>0.21249999999999999</v>
      </c>
      <c r="V21" s="6">
        <v>9</v>
      </c>
      <c r="W21" s="2">
        <f t="shared" si="10"/>
        <v>29.266084905824997</v>
      </c>
      <c r="X21" s="2">
        <f t="shared" si="11"/>
        <v>30.848035441274998</v>
      </c>
      <c r="Y21" s="2">
        <f t="shared" si="12"/>
        <v>32.429985976725</v>
      </c>
      <c r="Z21" s="2">
        <f t="shared" si="13"/>
        <v>34.011936512174998</v>
      </c>
      <c r="AA21" s="2">
        <f t="shared" si="14"/>
        <v>35.593887047624996</v>
      </c>
      <c r="AB21" s="2">
        <f t="shared" si="15"/>
        <v>37.175837583074994</v>
      </c>
      <c r="AD21" s="7">
        <v>0.5</v>
      </c>
      <c r="AG21" s="16">
        <f t="shared" si="16"/>
        <v>0.79097526772499993</v>
      </c>
    </row>
    <row r="22" spans="2:33" x14ac:dyDescent="0.25">
      <c r="B22" s="6">
        <v>10</v>
      </c>
      <c r="C22" s="8">
        <v>35</v>
      </c>
      <c r="D22" s="2">
        <f t="shared" si="17"/>
        <v>37</v>
      </c>
      <c r="E22" s="2">
        <f t="shared" si="2"/>
        <v>39</v>
      </c>
      <c r="F22" s="2">
        <f t="shared" si="2"/>
        <v>41</v>
      </c>
      <c r="G22" s="2">
        <f t="shared" si="2"/>
        <v>43</v>
      </c>
      <c r="H22" s="2">
        <f t="shared" si="2"/>
        <v>45</v>
      </c>
      <c r="K22" s="6">
        <v>10</v>
      </c>
      <c r="L22" s="2">
        <f t="shared" si="3"/>
        <v>8.3125</v>
      </c>
      <c r="M22" s="2">
        <f t="shared" si="4"/>
        <v>8.7874999999999996</v>
      </c>
      <c r="N22" s="2">
        <f t="shared" si="5"/>
        <v>9.2624999999999993</v>
      </c>
      <c r="O22" s="2">
        <f t="shared" si="6"/>
        <v>9.7374999999999989</v>
      </c>
      <c r="P22" s="2">
        <f t="shared" si="7"/>
        <v>10.2125</v>
      </c>
      <c r="Q22" s="2">
        <f t="shared" si="8"/>
        <v>10.6875</v>
      </c>
      <c r="S22" s="15">
        <f t="shared" si="9"/>
        <v>0.23749999999999999</v>
      </c>
      <c r="V22" s="6">
        <v>10</v>
      </c>
      <c r="W22" s="2">
        <f t="shared" si="10"/>
        <v>28.328220933337498</v>
      </c>
      <c r="X22" s="2">
        <f t="shared" si="11"/>
        <v>29.946976415242496</v>
      </c>
      <c r="Y22" s="2">
        <f t="shared" si="12"/>
        <v>31.565731897147497</v>
      </c>
      <c r="Z22" s="2">
        <f t="shared" si="13"/>
        <v>33.184487379052499</v>
      </c>
      <c r="AA22" s="2">
        <f t="shared" si="14"/>
        <v>34.803242860957496</v>
      </c>
      <c r="AB22" s="2">
        <f t="shared" si="15"/>
        <v>36.421998342862494</v>
      </c>
      <c r="AD22" s="7">
        <v>0.5</v>
      </c>
      <c r="AG22" s="16">
        <f t="shared" si="16"/>
        <v>0.80937774095249992</v>
      </c>
    </row>
    <row r="23" spans="2:33" x14ac:dyDescent="0.25">
      <c r="B23" s="6">
        <v>11</v>
      </c>
      <c r="C23" s="8">
        <v>33</v>
      </c>
      <c r="D23" s="2">
        <f t="shared" si="17"/>
        <v>35</v>
      </c>
      <c r="E23" s="2">
        <f t="shared" si="2"/>
        <v>37</v>
      </c>
      <c r="F23" s="2">
        <f t="shared" si="2"/>
        <v>39</v>
      </c>
      <c r="G23" s="2">
        <f t="shared" si="2"/>
        <v>41</v>
      </c>
      <c r="H23" s="2">
        <f t="shared" si="2"/>
        <v>43</v>
      </c>
      <c r="K23" s="6">
        <v>11</v>
      </c>
      <c r="L23" s="2">
        <f t="shared" si="3"/>
        <v>8.6624999999999996</v>
      </c>
      <c r="M23" s="2">
        <f t="shared" si="4"/>
        <v>9.1875</v>
      </c>
      <c r="N23" s="2">
        <f t="shared" si="5"/>
        <v>9.7125000000000004</v>
      </c>
      <c r="O23" s="2">
        <f t="shared" si="6"/>
        <v>10.237500000000001</v>
      </c>
      <c r="P23" s="2">
        <f t="shared" si="7"/>
        <v>10.762500000000001</v>
      </c>
      <c r="Q23" s="2">
        <f t="shared" si="8"/>
        <v>11.2875</v>
      </c>
      <c r="S23" s="15">
        <f t="shared" si="9"/>
        <v>0.26250000000000001</v>
      </c>
      <c r="V23" s="6">
        <v>11</v>
      </c>
      <c r="W23" s="2">
        <f t="shared" si="10"/>
        <v>27.284784877597499</v>
      </c>
      <c r="X23" s="2">
        <f t="shared" si="11"/>
        <v>28.938408203512498</v>
      </c>
      <c r="Y23" s="2">
        <f t="shared" si="12"/>
        <v>30.592031529427498</v>
      </c>
      <c r="Z23" s="2">
        <f t="shared" si="13"/>
        <v>32.245654855342501</v>
      </c>
      <c r="AA23" s="2">
        <f t="shared" si="14"/>
        <v>33.8992781812575</v>
      </c>
      <c r="AB23" s="2">
        <f t="shared" si="15"/>
        <v>35.5529015071725</v>
      </c>
      <c r="AD23" s="7">
        <v>0.5</v>
      </c>
      <c r="AG23" s="16">
        <f t="shared" si="16"/>
        <v>0.82681166295749997</v>
      </c>
    </row>
    <row r="24" spans="2:33" x14ac:dyDescent="0.25">
      <c r="B24" s="6">
        <v>12</v>
      </c>
      <c r="C24" s="8">
        <v>31</v>
      </c>
      <c r="D24" s="2">
        <f t="shared" si="17"/>
        <v>33</v>
      </c>
      <c r="E24" s="2">
        <f t="shared" si="2"/>
        <v>35</v>
      </c>
      <c r="F24" s="2">
        <f t="shared" si="2"/>
        <v>37</v>
      </c>
      <c r="G24" s="2">
        <f t="shared" si="2"/>
        <v>39</v>
      </c>
      <c r="H24" s="2">
        <f t="shared" si="2"/>
        <v>41</v>
      </c>
      <c r="K24" s="6">
        <v>12</v>
      </c>
      <c r="L24" s="2">
        <f t="shared" si="3"/>
        <v>8.9124999999999996</v>
      </c>
      <c r="M24" s="2">
        <f t="shared" si="4"/>
        <v>9.4874999999999989</v>
      </c>
      <c r="N24" s="2">
        <f t="shared" si="5"/>
        <v>10.0625</v>
      </c>
      <c r="O24" s="2">
        <f t="shared" si="6"/>
        <v>10.637499999999999</v>
      </c>
      <c r="P24" s="2">
        <f t="shared" si="7"/>
        <v>11.212499999999999</v>
      </c>
      <c r="Q24" s="2">
        <f t="shared" si="8"/>
        <v>11.7875</v>
      </c>
      <c r="S24" s="15">
        <f t="shared" si="9"/>
        <v>0.28749999999999998</v>
      </c>
      <c r="V24" s="6">
        <v>12</v>
      </c>
      <c r="W24" s="2">
        <f t="shared" si="10"/>
        <v>21.343226267675</v>
      </c>
      <c r="X24" s="2">
        <f t="shared" si="11"/>
        <v>22.720208607525002</v>
      </c>
      <c r="Y24" s="2">
        <f t="shared" si="12"/>
        <v>24.097190947375001</v>
      </c>
      <c r="Z24" s="2">
        <f t="shared" si="13"/>
        <v>25.474173287225</v>
      </c>
      <c r="AA24" s="2">
        <f t="shared" si="14"/>
        <v>26.851155627075002</v>
      </c>
      <c r="AB24" s="2">
        <f t="shared" si="15"/>
        <v>28.228137966925001</v>
      </c>
      <c r="AD24" s="7">
        <v>0</v>
      </c>
      <c r="AG24" s="16">
        <f t="shared" si="16"/>
        <v>0.68849116992500003</v>
      </c>
    </row>
    <row r="25" spans="2:33" x14ac:dyDescent="0.25">
      <c r="B25" s="6">
        <v>13</v>
      </c>
      <c r="C25" s="8">
        <v>30</v>
      </c>
      <c r="D25" s="2">
        <f t="shared" si="17"/>
        <v>31</v>
      </c>
      <c r="E25" s="2">
        <f t="shared" si="2"/>
        <v>33</v>
      </c>
      <c r="F25" s="2">
        <f t="shared" si="2"/>
        <v>35</v>
      </c>
      <c r="G25" s="2">
        <f t="shared" si="2"/>
        <v>37</v>
      </c>
      <c r="H25" s="2">
        <f t="shared" si="2"/>
        <v>39</v>
      </c>
      <c r="K25" s="6">
        <v>13</v>
      </c>
      <c r="L25" s="2">
        <f t="shared" si="3"/>
        <v>9.375</v>
      </c>
      <c r="M25" s="2">
        <f t="shared" si="4"/>
        <v>9.6875</v>
      </c>
      <c r="N25" s="2">
        <f t="shared" si="5"/>
        <v>10.3125</v>
      </c>
      <c r="O25" s="2">
        <f t="shared" si="6"/>
        <v>10.9375</v>
      </c>
      <c r="P25" s="2">
        <f t="shared" si="7"/>
        <v>11.5625</v>
      </c>
      <c r="Q25" s="2">
        <f t="shared" si="8"/>
        <v>12.1875</v>
      </c>
      <c r="S25" s="15">
        <f t="shared" si="9"/>
        <v>0.3125</v>
      </c>
      <c r="V25" s="6">
        <v>13</v>
      </c>
      <c r="W25" s="2">
        <f t="shared" si="10"/>
        <v>21.700770418050002</v>
      </c>
      <c r="X25" s="2">
        <f t="shared" si="11"/>
        <v>22.424129431985001</v>
      </c>
      <c r="Y25" s="2">
        <f t="shared" si="12"/>
        <v>23.870847459855</v>
      </c>
      <c r="Z25" s="2">
        <f t="shared" si="13"/>
        <v>25.317565487725002</v>
      </c>
      <c r="AA25" s="2">
        <f t="shared" si="14"/>
        <v>26.764283515595</v>
      </c>
      <c r="AB25" s="2">
        <f t="shared" si="15"/>
        <v>28.211001543465002</v>
      </c>
      <c r="AD25" s="7">
        <v>0</v>
      </c>
      <c r="AG25" s="16">
        <f t="shared" si="16"/>
        <v>0.72335901393500002</v>
      </c>
    </row>
    <row r="26" spans="2:33" x14ac:dyDescent="0.25">
      <c r="B26" s="6">
        <v>14</v>
      </c>
      <c r="C26" s="8">
        <v>29</v>
      </c>
      <c r="D26" s="2">
        <f t="shared" si="17"/>
        <v>30</v>
      </c>
      <c r="E26" s="2">
        <f t="shared" si="2"/>
        <v>31</v>
      </c>
      <c r="F26" s="2">
        <f t="shared" si="2"/>
        <v>33</v>
      </c>
      <c r="G26" s="2">
        <f t="shared" si="2"/>
        <v>35</v>
      </c>
      <c r="H26" s="2">
        <f t="shared" si="2"/>
        <v>37</v>
      </c>
      <c r="K26" s="6">
        <v>14</v>
      </c>
      <c r="L26" s="2">
        <f t="shared" si="3"/>
        <v>9.7875000000000014</v>
      </c>
      <c r="M26" s="2">
        <f t="shared" si="4"/>
        <v>10.125</v>
      </c>
      <c r="N26" s="2">
        <f t="shared" si="5"/>
        <v>10.4625</v>
      </c>
      <c r="O26" s="2">
        <f t="shared" si="6"/>
        <v>11.137500000000001</v>
      </c>
      <c r="P26" s="2">
        <f t="shared" si="7"/>
        <v>11.8125</v>
      </c>
      <c r="Q26" s="2">
        <f t="shared" si="8"/>
        <v>12.487500000000001</v>
      </c>
      <c r="S26" s="15">
        <f t="shared" si="9"/>
        <v>0.33750000000000002</v>
      </c>
      <c r="V26" s="6">
        <v>14</v>
      </c>
      <c r="W26" s="2">
        <f t="shared" si="10"/>
        <v>21.988578880405001</v>
      </c>
      <c r="X26" s="2">
        <f t="shared" si="11"/>
        <v>22.746805738349998</v>
      </c>
      <c r="Y26" s="2">
        <f t="shared" si="12"/>
        <v>23.505032596294999</v>
      </c>
      <c r="Z26" s="2">
        <f t="shared" si="13"/>
        <v>25.021486312185001</v>
      </c>
      <c r="AA26" s="2">
        <f t="shared" si="14"/>
        <v>26.537940028074999</v>
      </c>
      <c r="AB26" s="2">
        <f t="shared" si="15"/>
        <v>28.054393743965001</v>
      </c>
      <c r="AD26" s="7">
        <v>0</v>
      </c>
      <c r="AG26" s="16">
        <f t="shared" si="16"/>
        <v>0.758226857945</v>
      </c>
    </row>
    <row r="27" spans="2:33" x14ac:dyDescent="0.25">
      <c r="B27" s="6">
        <v>15</v>
      </c>
      <c r="C27" s="8">
        <v>28</v>
      </c>
      <c r="D27" s="2">
        <f t="shared" si="17"/>
        <v>29</v>
      </c>
      <c r="E27" s="2">
        <f t="shared" si="2"/>
        <v>30</v>
      </c>
      <c r="F27" s="2">
        <f t="shared" si="2"/>
        <v>31</v>
      </c>
      <c r="G27" s="2">
        <f t="shared" si="2"/>
        <v>33</v>
      </c>
      <c r="H27" s="2">
        <f t="shared" si="2"/>
        <v>35</v>
      </c>
      <c r="K27" s="6">
        <v>15</v>
      </c>
      <c r="L27" s="2">
        <f t="shared" si="3"/>
        <v>10.15</v>
      </c>
      <c r="M27" s="2">
        <f t="shared" si="4"/>
        <v>10.512499999999999</v>
      </c>
      <c r="N27" s="2">
        <f t="shared" si="5"/>
        <v>10.875</v>
      </c>
      <c r="O27" s="2">
        <f t="shared" si="6"/>
        <v>11.237499999999999</v>
      </c>
      <c r="P27" s="2">
        <f t="shared" si="7"/>
        <v>11.9625</v>
      </c>
      <c r="Q27" s="2">
        <f t="shared" si="8"/>
        <v>12.6875</v>
      </c>
      <c r="S27" s="15">
        <f t="shared" si="9"/>
        <v>0.36249999999999999</v>
      </c>
      <c r="V27" s="6">
        <v>15</v>
      </c>
      <c r="W27" s="2">
        <f t="shared" si="10"/>
        <v>25.103325827370004</v>
      </c>
      <c r="X27" s="2">
        <f t="shared" si="11"/>
        <v>25.999873178347503</v>
      </c>
      <c r="Y27" s="2">
        <f t="shared" si="12"/>
        <v>26.896420529325006</v>
      </c>
      <c r="Z27" s="2">
        <f t="shared" si="13"/>
        <v>27.792967880302506</v>
      </c>
      <c r="AA27" s="2">
        <f t="shared" si="14"/>
        <v>29.586062582257505</v>
      </c>
      <c r="AB27" s="2">
        <f t="shared" si="15"/>
        <v>31.379157284212507</v>
      </c>
      <c r="AD27" s="7">
        <v>0.5</v>
      </c>
      <c r="AG27" s="16">
        <f t="shared" si="16"/>
        <v>0.89654735097750016</v>
      </c>
    </row>
    <row r="28" spans="2:33" x14ac:dyDescent="0.25">
      <c r="B28" s="6">
        <v>16</v>
      </c>
      <c r="C28" s="8">
        <v>27</v>
      </c>
      <c r="D28" s="2">
        <f t="shared" si="17"/>
        <v>28</v>
      </c>
      <c r="E28" s="2">
        <f t="shared" si="2"/>
        <v>29</v>
      </c>
      <c r="F28" s="2">
        <f t="shared" si="2"/>
        <v>30</v>
      </c>
      <c r="G28" s="2">
        <f t="shared" si="2"/>
        <v>31</v>
      </c>
      <c r="H28" s="2">
        <f t="shared" si="2"/>
        <v>33</v>
      </c>
      <c r="K28" s="6">
        <v>16</v>
      </c>
      <c r="L28" s="2">
        <f t="shared" si="3"/>
        <v>10.4625</v>
      </c>
      <c r="M28" s="2">
        <f t="shared" si="4"/>
        <v>10.85</v>
      </c>
      <c r="N28" s="2">
        <f t="shared" si="5"/>
        <v>11.237500000000001</v>
      </c>
      <c r="O28" s="2">
        <f t="shared" si="6"/>
        <v>11.625</v>
      </c>
      <c r="P28" s="2">
        <f t="shared" si="7"/>
        <v>12.012500000000001</v>
      </c>
      <c r="Q28" s="2">
        <f t="shared" si="8"/>
        <v>12.7875</v>
      </c>
      <c r="S28" s="15">
        <f t="shared" si="9"/>
        <v>0.38750000000000001</v>
      </c>
      <c r="V28" s="6">
        <v>16</v>
      </c>
      <c r="W28" s="2">
        <f t="shared" si="10"/>
        <v>24.677494370527505</v>
      </c>
      <c r="X28" s="2">
        <f t="shared" si="11"/>
        <v>25.591475643510005</v>
      </c>
      <c r="Y28" s="2">
        <f t="shared" si="12"/>
        <v>26.505456916492506</v>
      </c>
      <c r="Z28" s="2">
        <f t="shared" si="13"/>
        <v>27.419438189475006</v>
      </c>
      <c r="AA28" s="2">
        <f t="shared" si="14"/>
        <v>28.333419462457506</v>
      </c>
      <c r="AB28" s="2">
        <f t="shared" si="15"/>
        <v>30.161382008422507</v>
      </c>
      <c r="AD28" s="7">
        <v>0.5</v>
      </c>
      <c r="AG28" s="16">
        <f t="shared" si="16"/>
        <v>0.9139812729825002</v>
      </c>
    </row>
    <row r="29" spans="2:33" x14ac:dyDescent="0.25">
      <c r="B29" s="6">
        <v>17</v>
      </c>
      <c r="C29" s="8">
        <v>26</v>
      </c>
      <c r="D29" s="2">
        <f t="shared" si="17"/>
        <v>27</v>
      </c>
      <c r="E29" s="2">
        <f t="shared" si="2"/>
        <v>28</v>
      </c>
      <c r="F29" s="2">
        <f t="shared" si="2"/>
        <v>29</v>
      </c>
      <c r="G29" s="2">
        <f t="shared" si="2"/>
        <v>30</v>
      </c>
      <c r="H29" s="2">
        <f t="shared" si="2"/>
        <v>31</v>
      </c>
      <c r="K29" s="6">
        <v>17</v>
      </c>
      <c r="L29" s="2">
        <f t="shared" si="3"/>
        <v>10.725</v>
      </c>
      <c r="M29" s="2">
        <f t="shared" si="4"/>
        <v>11.137499999999999</v>
      </c>
      <c r="N29" s="2">
        <f t="shared" si="5"/>
        <v>11.549999999999999</v>
      </c>
      <c r="O29" s="2">
        <f t="shared" si="6"/>
        <v>11.962499999999999</v>
      </c>
      <c r="P29" s="2">
        <f t="shared" si="7"/>
        <v>12.375</v>
      </c>
      <c r="Q29" s="2">
        <f t="shared" si="8"/>
        <v>12.7875</v>
      </c>
      <c r="S29" s="15">
        <f t="shared" si="9"/>
        <v>0.41249999999999998</v>
      </c>
      <c r="V29" s="6">
        <v>17</v>
      </c>
      <c r="W29" s="2">
        <f t="shared" si="10"/>
        <v>23.503513097545003</v>
      </c>
      <c r="X29" s="2">
        <f t="shared" si="11"/>
        <v>24.407494370527502</v>
      </c>
      <c r="Y29" s="2">
        <f t="shared" si="12"/>
        <v>25.311475643510001</v>
      </c>
      <c r="Z29" s="2">
        <f t="shared" si="13"/>
        <v>26.215456916492503</v>
      </c>
      <c r="AA29" s="2">
        <f t="shared" si="14"/>
        <v>27.119438189475002</v>
      </c>
      <c r="AB29" s="2">
        <f t="shared" si="15"/>
        <v>28.023419462457504</v>
      </c>
      <c r="AD29" s="7">
        <v>0.3</v>
      </c>
      <c r="AG29" s="16">
        <f t="shared" si="16"/>
        <v>0.90398127298250008</v>
      </c>
    </row>
    <row r="30" spans="2:33" x14ac:dyDescent="0.25">
      <c r="B30" s="6">
        <v>18</v>
      </c>
      <c r="C30" s="8">
        <v>25</v>
      </c>
      <c r="D30" s="2">
        <f t="shared" si="17"/>
        <v>26</v>
      </c>
      <c r="E30" s="2">
        <f t="shared" si="17"/>
        <v>27</v>
      </c>
      <c r="F30" s="2">
        <f t="shared" si="17"/>
        <v>28</v>
      </c>
      <c r="G30" s="2">
        <f t="shared" si="17"/>
        <v>29</v>
      </c>
      <c r="H30" s="2">
        <f t="shared" si="17"/>
        <v>30</v>
      </c>
      <c r="K30" s="6">
        <v>18</v>
      </c>
      <c r="L30" s="2">
        <f t="shared" si="3"/>
        <v>10.9375</v>
      </c>
      <c r="M30" s="2">
        <f t="shared" si="4"/>
        <v>11.375</v>
      </c>
      <c r="N30" s="2">
        <f t="shared" si="5"/>
        <v>11.8125</v>
      </c>
      <c r="O30" s="2">
        <f t="shared" si="6"/>
        <v>12.25</v>
      </c>
      <c r="P30" s="2">
        <f t="shared" si="7"/>
        <v>12.6875</v>
      </c>
      <c r="Q30" s="2">
        <f t="shared" si="8"/>
        <v>13.125</v>
      </c>
      <c r="S30" s="15">
        <f t="shared" si="9"/>
        <v>0.4375</v>
      </c>
      <c r="V30" s="6">
        <v>18</v>
      </c>
      <c r="W30" s="2">
        <f t="shared" si="10"/>
        <v>23.209719094737501</v>
      </c>
      <c r="X30" s="2">
        <f t="shared" si="11"/>
        <v>24.138107858527</v>
      </c>
      <c r="Y30" s="2">
        <f t="shared" si="12"/>
        <v>25.066496622316503</v>
      </c>
      <c r="Z30" s="2">
        <f t="shared" si="13"/>
        <v>25.994885386106002</v>
      </c>
      <c r="AA30" s="2">
        <f t="shared" si="14"/>
        <v>26.923274149895501</v>
      </c>
      <c r="AB30" s="2">
        <f t="shared" si="15"/>
        <v>27.851662913685004</v>
      </c>
      <c r="AD30" s="7">
        <v>0.3</v>
      </c>
      <c r="AG30" s="16">
        <f t="shared" si="16"/>
        <v>0.92838876378950008</v>
      </c>
    </row>
    <row r="31" spans="2:33" x14ac:dyDescent="0.25">
      <c r="B31" s="6">
        <v>19</v>
      </c>
      <c r="C31" s="8">
        <v>24</v>
      </c>
      <c r="D31" s="2">
        <f t="shared" si="17"/>
        <v>25</v>
      </c>
      <c r="E31" s="2">
        <f t="shared" si="17"/>
        <v>26</v>
      </c>
      <c r="F31" s="2">
        <f t="shared" si="17"/>
        <v>27</v>
      </c>
      <c r="G31" s="2">
        <f t="shared" si="17"/>
        <v>28</v>
      </c>
      <c r="H31" s="2">
        <f t="shared" si="17"/>
        <v>29</v>
      </c>
      <c r="K31" s="6">
        <v>19</v>
      </c>
      <c r="L31" s="2">
        <f t="shared" si="3"/>
        <v>11.100000000000001</v>
      </c>
      <c r="M31" s="2">
        <f t="shared" si="4"/>
        <v>11.5625</v>
      </c>
      <c r="N31" s="2">
        <f t="shared" si="5"/>
        <v>12.025</v>
      </c>
      <c r="O31" s="2">
        <f t="shared" si="6"/>
        <v>12.487500000000001</v>
      </c>
      <c r="P31" s="2">
        <f t="shared" si="7"/>
        <v>12.950000000000001</v>
      </c>
      <c r="Q31" s="2">
        <f t="shared" si="8"/>
        <v>13.412500000000001</v>
      </c>
      <c r="S31" s="15">
        <f t="shared" si="9"/>
        <v>0.46250000000000002</v>
      </c>
      <c r="V31" s="6">
        <v>19</v>
      </c>
      <c r="W31" s="2">
        <f t="shared" si="10"/>
        <v>22.867110110316002</v>
      </c>
      <c r="X31" s="2">
        <f t="shared" si="11"/>
        <v>23.819906364912502</v>
      </c>
      <c r="Y31" s="2">
        <f t="shared" si="12"/>
        <v>24.772702619509001</v>
      </c>
      <c r="Z31" s="2">
        <f t="shared" si="13"/>
        <v>25.725498874105501</v>
      </c>
      <c r="AA31" s="2">
        <f t="shared" si="14"/>
        <v>26.678295128702004</v>
      </c>
      <c r="AB31" s="2">
        <f t="shared" si="15"/>
        <v>27.631091383298504</v>
      </c>
      <c r="AD31" s="7">
        <v>0.3</v>
      </c>
      <c r="AG31" s="16">
        <f t="shared" si="16"/>
        <v>0.95279625459650008</v>
      </c>
    </row>
    <row r="32" spans="2:33" x14ac:dyDescent="0.25">
      <c r="B32" s="6">
        <v>20</v>
      </c>
      <c r="C32" s="8">
        <v>23</v>
      </c>
      <c r="D32" s="2">
        <f t="shared" si="17"/>
        <v>24</v>
      </c>
      <c r="E32" s="2">
        <f t="shared" si="17"/>
        <v>25</v>
      </c>
      <c r="F32" s="2">
        <f t="shared" si="17"/>
        <v>26</v>
      </c>
      <c r="G32" s="2">
        <f t="shared" si="17"/>
        <v>27</v>
      </c>
      <c r="H32" s="2">
        <f t="shared" si="17"/>
        <v>28</v>
      </c>
      <c r="K32" s="6">
        <v>20</v>
      </c>
      <c r="L32" s="2">
        <f t="shared" si="3"/>
        <v>11.2125</v>
      </c>
      <c r="M32" s="2">
        <f t="shared" si="4"/>
        <v>11.7</v>
      </c>
      <c r="N32" s="2">
        <f t="shared" si="5"/>
        <v>12.1875</v>
      </c>
      <c r="O32" s="2">
        <f t="shared" si="6"/>
        <v>12.674999999999999</v>
      </c>
      <c r="P32" s="2">
        <f t="shared" si="7"/>
        <v>13.1625</v>
      </c>
      <c r="Q32" s="2">
        <f t="shared" si="8"/>
        <v>13.65</v>
      </c>
      <c r="S32" s="15">
        <f t="shared" si="9"/>
        <v>0.48749999999999999</v>
      </c>
      <c r="V32" s="6">
        <v>20</v>
      </c>
      <c r="W32" s="2">
        <f t="shared" si="10"/>
        <v>21.849999999999998</v>
      </c>
      <c r="X32" s="2">
        <f t="shared" si="11"/>
        <v>22.799999999999997</v>
      </c>
      <c r="Y32" s="2">
        <f t="shared" si="12"/>
        <v>23.75</v>
      </c>
      <c r="Z32" s="2">
        <f t="shared" si="13"/>
        <v>24.7</v>
      </c>
      <c r="AA32" s="2">
        <f t="shared" si="14"/>
        <v>25.65</v>
      </c>
      <c r="AB32" s="2">
        <f t="shared" si="15"/>
        <v>26.599999999999998</v>
      </c>
      <c r="AD32" s="7">
        <v>0</v>
      </c>
      <c r="AG32" s="16">
        <f t="shared" si="16"/>
        <v>0.95</v>
      </c>
    </row>
    <row r="33" spans="2:33" x14ac:dyDescent="0.25">
      <c r="B33" s="6">
        <v>21</v>
      </c>
      <c r="C33" s="8">
        <v>22</v>
      </c>
      <c r="D33" s="2">
        <f t="shared" si="17"/>
        <v>23</v>
      </c>
      <c r="E33" s="2">
        <f t="shared" si="17"/>
        <v>24</v>
      </c>
      <c r="F33" s="2">
        <f t="shared" si="17"/>
        <v>25</v>
      </c>
      <c r="G33" s="2">
        <f t="shared" si="17"/>
        <v>26</v>
      </c>
      <c r="H33" s="2">
        <f t="shared" si="17"/>
        <v>27</v>
      </c>
      <c r="K33" s="6">
        <v>21</v>
      </c>
      <c r="L33" s="2">
        <f t="shared" si="3"/>
        <v>11.274999999999999</v>
      </c>
      <c r="M33" s="2">
        <f t="shared" si="4"/>
        <v>11.7875</v>
      </c>
      <c r="N33" s="2">
        <f t="shared" si="5"/>
        <v>12.299999999999999</v>
      </c>
      <c r="O33" s="2">
        <f t="shared" si="6"/>
        <v>12.812499999999998</v>
      </c>
      <c r="P33" s="2">
        <f t="shared" si="7"/>
        <v>13.324999999999999</v>
      </c>
      <c r="Q33" s="2">
        <f t="shared" si="8"/>
        <v>13.837499999999999</v>
      </c>
      <c r="S33" s="15">
        <f t="shared" si="9"/>
        <v>0.51249999999999996</v>
      </c>
      <c r="V33" s="6">
        <v>21</v>
      </c>
      <c r="W33" s="2">
        <f t="shared" si="10"/>
        <v>20.9</v>
      </c>
      <c r="X33" s="2">
        <f t="shared" si="11"/>
        <v>21.849999999999998</v>
      </c>
      <c r="Y33" s="2">
        <f t="shared" si="12"/>
        <v>22.799999999999997</v>
      </c>
      <c r="Z33" s="2">
        <f t="shared" si="13"/>
        <v>23.75</v>
      </c>
      <c r="AA33" s="2">
        <f t="shared" si="14"/>
        <v>24.7</v>
      </c>
      <c r="AB33" s="2">
        <f t="shared" si="15"/>
        <v>25.65</v>
      </c>
      <c r="AD33" s="7">
        <v>0</v>
      </c>
      <c r="AG33" s="16">
        <f t="shared" si="16"/>
        <v>0.95</v>
      </c>
    </row>
    <row r="34" spans="2:33" x14ac:dyDescent="0.25">
      <c r="B34" s="6">
        <v>22</v>
      </c>
      <c r="C34" s="8">
        <v>21</v>
      </c>
      <c r="D34" s="2">
        <f t="shared" si="17"/>
        <v>22</v>
      </c>
      <c r="E34" s="2">
        <f t="shared" si="17"/>
        <v>23</v>
      </c>
      <c r="F34" s="2">
        <f t="shared" si="17"/>
        <v>24</v>
      </c>
      <c r="G34" s="2">
        <f t="shared" si="17"/>
        <v>25</v>
      </c>
      <c r="H34" s="2">
        <f t="shared" si="17"/>
        <v>26</v>
      </c>
      <c r="K34" s="6">
        <v>22</v>
      </c>
      <c r="L34" s="2">
        <f t="shared" si="3"/>
        <v>11.2875</v>
      </c>
      <c r="M34" s="2">
        <f t="shared" si="4"/>
        <v>11.824999999999999</v>
      </c>
      <c r="N34" s="2">
        <f t="shared" si="5"/>
        <v>12.362499999999999</v>
      </c>
      <c r="O34" s="2">
        <f t="shared" si="6"/>
        <v>12.899999999999999</v>
      </c>
      <c r="P34" s="2">
        <f t="shared" si="7"/>
        <v>13.4375</v>
      </c>
      <c r="Q34" s="2">
        <f t="shared" si="8"/>
        <v>13.975</v>
      </c>
      <c r="S34" s="15">
        <f t="shared" si="9"/>
        <v>0.53749999999999998</v>
      </c>
      <c r="V34" s="6">
        <v>22</v>
      </c>
      <c r="W34" s="2">
        <f t="shared" si="10"/>
        <v>21</v>
      </c>
      <c r="X34" s="2">
        <f t="shared" si="11"/>
        <v>22</v>
      </c>
      <c r="Y34" s="2">
        <f t="shared" si="12"/>
        <v>23</v>
      </c>
      <c r="Z34" s="2">
        <f t="shared" si="13"/>
        <v>24</v>
      </c>
      <c r="AA34" s="2">
        <f t="shared" si="14"/>
        <v>25</v>
      </c>
      <c r="AB34" s="2">
        <f t="shared" si="15"/>
        <v>26</v>
      </c>
      <c r="AD34" s="7">
        <v>0</v>
      </c>
      <c r="AG34" s="16">
        <f t="shared" si="16"/>
        <v>1</v>
      </c>
    </row>
    <row r="35" spans="2:33" x14ac:dyDescent="0.25">
      <c r="B35" s="6">
        <v>23</v>
      </c>
      <c r="C35" s="8">
        <v>20</v>
      </c>
      <c r="D35" s="2">
        <f t="shared" si="17"/>
        <v>21</v>
      </c>
      <c r="E35" s="2">
        <f t="shared" si="17"/>
        <v>22</v>
      </c>
      <c r="F35" s="2">
        <f t="shared" si="17"/>
        <v>23</v>
      </c>
      <c r="G35" s="2">
        <f t="shared" si="17"/>
        <v>24</v>
      </c>
      <c r="H35" s="2">
        <f t="shared" si="17"/>
        <v>25</v>
      </c>
      <c r="K35" s="6">
        <v>23</v>
      </c>
      <c r="L35" s="2">
        <f t="shared" si="3"/>
        <v>11.25</v>
      </c>
      <c r="M35" s="2">
        <f t="shared" si="4"/>
        <v>11.8125</v>
      </c>
      <c r="N35" s="2">
        <f t="shared" si="5"/>
        <v>12.375</v>
      </c>
      <c r="O35" s="2">
        <f t="shared" si="6"/>
        <v>12.9375</v>
      </c>
      <c r="P35" s="2">
        <f t="shared" si="7"/>
        <v>13.5</v>
      </c>
      <c r="Q35" s="2">
        <f t="shared" si="8"/>
        <v>14.0625</v>
      </c>
      <c r="S35" s="15">
        <f t="shared" si="9"/>
        <v>0.5625</v>
      </c>
      <c r="V35" s="6">
        <v>23</v>
      </c>
      <c r="W35" s="2">
        <f t="shared" si="10"/>
        <v>20</v>
      </c>
      <c r="X35" s="2">
        <f t="shared" si="11"/>
        <v>21</v>
      </c>
      <c r="Y35" s="2">
        <f t="shared" si="12"/>
        <v>22</v>
      </c>
      <c r="Z35" s="2">
        <f t="shared" si="13"/>
        <v>23</v>
      </c>
      <c r="AA35" s="2">
        <f t="shared" si="14"/>
        <v>24</v>
      </c>
      <c r="AB35" s="2">
        <f t="shared" si="15"/>
        <v>25</v>
      </c>
      <c r="AD35" s="7">
        <v>0</v>
      </c>
      <c r="AG35" s="16">
        <f t="shared" si="16"/>
        <v>1</v>
      </c>
    </row>
    <row r="36" spans="2:33" x14ac:dyDescent="0.25">
      <c r="B36" s="6">
        <v>24</v>
      </c>
      <c r="C36" s="8">
        <v>19</v>
      </c>
      <c r="D36" s="2">
        <f t="shared" si="17"/>
        <v>20</v>
      </c>
      <c r="E36" s="2">
        <f t="shared" si="17"/>
        <v>21</v>
      </c>
      <c r="F36" s="2">
        <f t="shared" si="17"/>
        <v>22</v>
      </c>
      <c r="G36" s="2">
        <f t="shared" si="17"/>
        <v>23</v>
      </c>
      <c r="H36" s="2">
        <f t="shared" si="17"/>
        <v>24</v>
      </c>
      <c r="K36" s="6">
        <v>24</v>
      </c>
      <c r="L36" s="2">
        <f t="shared" si="3"/>
        <v>11.1625</v>
      </c>
      <c r="M36" s="2">
        <f t="shared" si="4"/>
        <v>11.75</v>
      </c>
      <c r="N36" s="2">
        <f t="shared" si="5"/>
        <v>12.3375</v>
      </c>
      <c r="O36" s="2">
        <f t="shared" si="6"/>
        <v>12.925000000000001</v>
      </c>
      <c r="P36" s="2">
        <f t="shared" si="7"/>
        <v>13.512500000000001</v>
      </c>
      <c r="Q36" s="2">
        <f t="shared" si="8"/>
        <v>14.100000000000001</v>
      </c>
      <c r="S36" s="15">
        <f t="shared" si="9"/>
        <v>0.58750000000000002</v>
      </c>
      <c r="V36" s="6">
        <v>24</v>
      </c>
      <c r="W36" s="2">
        <f t="shared" si="10"/>
        <v>19</v>
      </c>
      <c r="X36" s="2">
        <f t="shared" si="11"/>
        <v>20</v>
      </c>
      <c r="Y36" s="2">
        <f t="shared" si="12"/>
        <v>21</v>
      </c>
      <c r="Z36" s="2">
        <f t="shared" si="13"/>
        <v>22</v>
      </c>
      <c r="AA36" s="2">
        <f t="shared" si="14"/>
        <v>23</v>
      </c>
      <c r="AB36" s="2">
        <f t="shared" si="15"/>
        <v>24</v>
      </c>
      <c r="AD36" s="7">
        <v>0</v>
      </c>
      <c r="AG36" s="16">
        <f t="shared" si="16"/>
        <v>1</v>
      </c>
    </row>
    <row r="37" spans="2:33" x14ac:dyDescent="0.25">
      <c r="B37" s="6">
        <v>25</v>
      </c>
      <c r="C37" s="8">
        <v>18</v>
      </c>
      <c r="D37" s="2">
        <f t="shared" si="17"/>
        <v>19</v>
      </c>
      <c r="E37" s="2">
        <f t="shared" si="17"/>
        <v>20</v>
      </c>
      <c r="F37" s="2">
        <f t="shared" si="17"/>
        <v>21</v>
      </c>
      <c r="G37" s="2">
        <f t="shared" si="17"/>
        <v>22</v>
      </c>
      <c r="H37" s="2">
        <f t="shared" si="17"/>
        <v>23</v>
      </c>
      <c r="K37" s="6">
        <v>25</v>
      </c>
      <c r="L37" s="2">
        <f t="shared" si="3"/>
        <v>11.025</v>
      </c>
      <c r="M37" s="2">
        <f t="shared" si="4"/>
        <v>11.637500000000001</v>
      </c>
      <c r="N37" s="2">
        <f t="shared" si="5"/>
        <v>12.25</v>
      </c>
      <c r="O37" s="2">
        <f t="shared" si="6"/>
        <v>12.862500000000001</v>
      </c>
      <c r="P37" s="2">
        <f t="shared" si="7"/>
        <v>13.475000000000001</v>
      </c>
      <c r="Q37" s="2">
        <f t="shared" si="8"/>
        <v>14.0875</v>
      </c>
      <c r="S37" s="15">
        <f t="shared" si="9"/>
        <v>0.61250000000000004</v>
      </c>
      <c r="V37" s="6">
        <v>25</v>
      </c>
      <c r="W37" s="2">
        <f t="shared" si="10"/>
        <v>18</v>
      </c>
      <c r="X37" s="2">
        <f t="shared" si="11"/>
        <v>19</v>
      </c>
      <c r="Y37" s="2">
        <f t="shared" si="12"/>
        <v>20</v>
      </c>
      <c r="Z37" s="2">
        <f t="shared" si="13"/>
        <v>21</v>
      </c>
      <c r="AA37" s="2">
        <f t="shared" si="14"/>
        <v>22</v>
      </c>
      <c r="AB37" s="2">
        <f t="shared" si="15"/>
        <v>23</v>
      </c>
      <c r="AD37" s="7">
        <v>0</v>
      </c>
      <c r="AG37" s="16">
        <f t="shared" si="16"/>
        <v>1</v>
      </c>
    </row>
    <row r="38" spans="2:33" x14ac:dyDescent="0.25">
      <c r="B38" s="6">
        <v>26</v>
      </c>
      <c r="C38" s="8">
        <v>17</v>
      </c>
      <c r="D38" s="2">
        <f t="shared" si="17"/>
        <v>18</v>
      </c>
      <c r="E38" s="2">
        <f t="shared" si="17"/>
        <v>19</v>
      </c>
      <c r="F38" s="2">
        <f t="shared" si="17"/>
        <v>20</v>
      </c>
      <c r="G38" s="2">
        <f t="shared" si="17"/>
        <v>21</v>
      </c>
      <c r="H38" s="2">
        <f t="shared" si="17"/>
        <v>22</v>
      </c>
      <c r="K38" s="6">
        <v>26</v>
      </c>
      <c r="L38" s="2">
        <f t="shared" si="3"/>
        <v>10.837499999999999</v>
      </c>
      <c r="M38" s="2">
        <f t="shared" si="4"/>
        <v>11.475</v>
      </c>
      <c r="N38" s="2">
        <f t="shared" si="5"/>
        <v>12.112499999999999</v>
      </c>
      <c r="O38" s="2">
        <f t="shared" si="6"/>
        <v>12.75</v>
      </c>
      <c r="P38" s="2">
        <f t="shared" si="7"/>
        <v>13.387499999999999</v>
      </c>
      <c r="Q38" s="2">
        <f t="shared" si="8"/>
        <v>14.024999999999999</v>
      </c>
      <c r="S38" s="15">
        <f t="shared" si="9"/>
        <v>0.63749999999999996</v>
      </c>
      <c r="V38" s="6">
        <v>26</v>
      </c>
      <c r="W38" s="2">
        <f t="shared" si="10"/>
        <v>17</v>
      </c>
      <c r="X38" s="2">
        <f t="shared" si="11"/>
        <v>18</v>
      </c>
      <c r="Y38" s="2">
        <f t="shared" si="12"/>
        <v>19</v>
      </c>
      <c r="Z38" s="2">
        <f t="shared" si="13"/>
        <v>20</v>
      </c>
      <c r="AA38" s="2">
        <f t="shared" si="14"/>
        <v>21</v>
      </c>
      <c r="AB38" s="2">
        <f t="shared" si="15"/>
        <v>22</v>
      </c>
      <c r="AD38" s="7">
        <v>0</v>
      </c>
      <c r="AG38" s="16">
        <f t="shared" si="16"/>
        <v>1</v>
      </c>
    </row>
    <row r="39" spans="2:33" x14ac:dyDescent="0.25">
      <c r="B39" s="6">
        <v>27</v>
      </c>
      <c r="C39" s="8">
        <v>16</v>
      </c>
      <c r="D39" s="2">
        <f t="shared" si="17"/>
        <v>17</v>
      </c>
      <c r="E39" s="2">
        <f t="shared" si="17"/>
        <v>18</v>
      </c>
      <c r="F39" s="2">
        <f t="shared" si="17"/>
        <v>19</v>
      </c>
      <c r="G39" s="2">
        <f t="shared" si="17"/>
        <v>20</v>
      </c>
      <c r="H39" s="2">
        <f t="shared" si="17"/>
        <v>21</v>
      </c>
      <c r="K39" s="6">
        <v>27</v>
      </c>
      <c r="L39" s="2">
        <f t="shared" si="3"/>
        <v>10.6</v>
      </c>
      <c r="M39" s="2">
        <f t="shared" si="4"/>
        <v>11.262499999999999</v>
      </c>
      <c r="N39" s="2">
        <f t="shared" si="5"/>
        <v>11.924999999999999</v>
      </c>
      <c r="O39" s="2">
        <f t="shared" si="6"/>
        <v>12.5875</v>
      </c>
      <c r="P39" s="2">
        <f t="shared" si="7"/>
        <v>13.25</v>
      </c>
      <c r="Q39" s="2">
        <f t="shared" si="8"/>
        <v>13.9125</v>
      </c>
      <c r="S39" s="15">
        <f t="shared" si="9"/>
        <v>0.66249999999999998</v>
      </c>
      <c r="V39" s="6">
        <v>27</v>
      </c>
      <c r="W39" s="2">
        <f t="shared" si="10"/>
        <v>16</v>
      </c>
      <c r="X39" s="2">
        <f t="shared" si="11"/>
        <v>17</v>
      </c>
      <c r="Y39" s="2">
        <f t="shared" si="12"/>
        <v>18</v>
      </c>
      <c r="Z39" s="2">
        <f t="shared" si="13"/>
        <v>19</v>
      </c>
      <c r="AA39" s="2">
        <f t="shared" si="14"/>
        <v>20</v>
      </c>
      <c r="AB39" s="2">
        <f t="shared" si="15"/>
        <v>21</v>
      </c>
      <c r="AD39" s="7">
        <v>0</v>
      </c>
      <c r="AG39" s="16">
        <f t="shared" si="16"/>
        <v>1</v>
      </c>
    </row>
    <row r="40" spans="2:33" x14ac:dyDescent="0.25">
      <c r="B40" s="6">
        <v>28</v>
      </c>
      <c r="C40" s="8">
        <v>15</v>
      </c>
      <c r="D40" s="2">
        <f t="shared" si="17"/>
        <v>16</v>
      </c>
      <c r="E40" s="2">
        <f t="shared" si="17"/>
        <v>17</v>
      </c>
      <c r="F40" s="2">
        <f t="shared" si="17"/>
        <v>18</v>
      </c>
      <c r="G40" s="2">
        <f t="shared" si="17"/>
        <v>19</v>
      </c>
      <c r="H40" s="2">
        <f t="shared" si="17"/>
        <v>20</v>
      </c>
      <c r="K40" s="6">
        <v>28</v>
      </c>
      <c r="L40" s="2">
        <f t="shared" si="3"/>
        <v>10.3125</v>
      </c>
      <c r="M40" s="2">
        <f t="shared" si="4"/>
        <v>11</v>
      </c>
      <c r="N40" s="2">
        <f t="shared" si="5"/>
        <v>11.6875</v>
      </c>
      <c r="O40" s="2">
        <f t="shared" si="6"/>
        <v>12.375</v>
      </c>
      <c r="P40" s="2">
        <f t="shared" si="7"/>
        <v>13.0625</v>
      </c>
      <c r="Q40" s="2">
        <f t="shared" si="8"/>
        <v>13.75</v>
      </c>
      <c r="S40" s="15">
        <f t="shared" si="9"/>
        <v>0.6875</v>
      </c>
      <c r="V40" s="6">
        <v>28</v>
      </c>
      <c r="W40" s="2">
        <f t="shared" si="10"/>
        <v>15</v>
      </c>
      <c r="X40" s="2">
        <f t="shared" si="11"/>
        <v>16</v>
      </c>
      <c r="Y40" s="2">
        <f t="shared" si="12"/>
        <v>17</v>
      </c>
      <c r="Z40" s="2">
        <f t="shared" si="13"/>
        <v>18</v>
      </c>
      <c r="AA40" s="2">
        <f t="shared" si="14"/>
        <v>19</v>
      </c>
      <c r="AB40" s="2">
        <f t="shared" si="15"/>
        <v>20</v>
      </c>
      <c r="AD40" s="7">
        <v>0</v>
      </c>
      <c r="AG40" s="16">
        <f t="shared" si="16"/>
        <v>1</v>
      </c>
    </row>
    <row r="41" spans="2:33" x14ac:dyDescent="0.25">
      <c r="B41" s="6">
        <v>29</v>
      </c>
      <c r="C41" s="8">
        <v>14</v>
      </c>
      <c r="D41" s="2">
        <f t="shared" si="17"/>
        <v>15</v>
      </c>
      <c r="E41" s="2">
        <f t="shared" si="17"/>
        <v>16</v>
      </c>
      <c r="F41" s="2">
        <f t="shared" si="17"/>
        <v>17</v>
      </c>
      <c r="G41" s="2">
        <f t="shared" si="17"/>
        <v>18</v>
      </c>
      <c r="H41" s="2">
        <f t="shared" si="17"/>
        <v>19</v>
      </c>
      <c r="K41" s="6">
        <v>29</v>
      </c>
      <c r="L41" s="2">
        <f t="shared" si="3"/>
        <v>9.9749999999999996</v>
      </c>
      <c r="M41" s="2">
        <f t="shared" si="4"/>
        <v>10.6875</v>
      </c>
      <c r="N41" s="2">
        <f t="shared" si="5"/>
        <v>11.4</v>
      </c>
      <c r="O41" s="2">
        <f t="shared" si="6"/>
        <v>12.112500000000001</v>
      </c>
      <c r="P41" s="2">
        <f t="shared" si="7"/>
        <v>12.825000000000001</v>
      </c>
      <c r="Q41" s="2">
        <f t="shared" si="8"/>
        <v>13.5375</v>
      </c>
      <c r="S41" s="15">
        <f t="shared" si="9"/>
        <v>0.71250000000000002</v>
      </c>
      <c r="V41" s="6">
        <v>29</v>
      </c>
      <c r="W41" s="2">
        <f t="shared" si="10"/>
        <v>14</v>
      </c>
      <c r="X41" s="2">
        <f t="shared" si="11"/>
        <v>15</v>
      </c>
      <c r="Y41" s="2">
        <f t="shared" si="12"/>
        <v>16</v>
      </c>
      <c r="Z41" s="2">
        <f t="shared" si="13"/>
        <v>17</v>
      </c>
      <c r="AA41" s="2">
        <f t="shared" si="14"/>
        <v>18</v>
      </c>
      <c r="AB41" s="2">
        <f t="shared" si="15"/>
        <v>19</v>
      </c>
      <c r="AD41" s="7">
        <v>0</v>
      </c>
      <c r="AG41" s="16">
        <f t="shared" si="16"/>
        <v>1</v>
      </c>
    </row>
    <row r="42" spans="2:33" x14ac:dyDescent="0.25">
      <c r="B42" s="6">
        <v>30</v>
      </c>
      <c r="C42" s="8">
        <v>13</v>
      </c>
      <c r="D42" s="2">
        <f t="shared" si="17"/>
        <v>14</v>
      </c>
      <c r="E42" s="2">
        <f t="shared" si="17"/>
        <v>15</v>
      </c>
      <c r="F42" s="2">
        <f t="shared" si="17"/>
        <v>16</v>
      </c>
      <c r="G42" s="2">
        <f t="shared" si="17"/>
        <v>17</v>
      </c>
      <c r="H42" s="2">
        <f t="shared" si="17"/>
        <v>18</v>
      </c>
      <c r="K42" s="6">
        <v>30</v>
      </c>
      <c r="L42" s="2">
        <f t="shared" si="3"/>
        <v>9.5875000000000004</v>
      </c>
      <c r="M42" s="2">
        <f t="shared" si="4"/>
        <v>10.325000000000001</v>
      </c>
      <c r="N42" s="2">
        <f t="shared" si="5"/>
        <v>11.0625</v>
      </c>
      <c r="O42" s="2">
        <f t="shared" si="6"/>
        <v>11.8</v>
      </c>
      <c r="P42" s="2">
        <f t="shared" si="7"/>
        <v>12.537500000000001</v>
      </c>
      <c r="Q42" s="2">
        <f t="shared" si="8"/>
        <v>13.275</v>
      </c>
      <c r="S42" s="15">
        <f t="shared" si="9"/>
        <v>0.73750000000000004</v>
      </c>
      <c r="V42" s="6">
        <v>30</v>
      </c>
      <c r="W42" s="2">
        <f t="shared" si="10"/>
        <v>13</v>
      </c>
      <c r="X42" s="2">
        <f t="shared" si="11"/>
        <v>14</v>
      </c>
      <c r="Y42" s="2">
        <f t="shared" si="12"/>
        <v>15</v>
      </c>
      <c r="Z42" s="2">
        <f t="shared" si="13"/>
        <v>16</v>
      </c>
      <c r="AA42" s="2">
        <f t="shared" si="14"/>
        <v>17</v>
      </c>
      <c r="AB42" s="2">
        <f t="shared" si="15"/>
        <v>18</v>
      </c>
      <c r="AD42" s="7">
        <v>0</v>
      </c>
      <c r="AG42" s="16">
        <f t="shared" si="16"/>
        <v>1</v>
      </c>
    </row>
    <row r="43" spans="2:33" x14ac:dyDescent="0.25">
      <c r="B43" s="6">
        <v>31</v>
      </c>
      <c r="C43" s="8">
        <v>12</v>
      </c>
      <c r="D43" s="2">
        <f t="shared" si="17"/>
        <v>13</v>
      </c>
      <c r="E43" s="2">
        <f t="shared" si="17"/>
        <v>14</v>
      </c>
      <c r="F43" s="2">
        <f t="shared" si="17"/>
        <v>15</v>
      </c>
      <c r="G43" s="2">
        <f t="shared" si="17"/>
        <v>16</v>
      </c>
      <c r="H43" s="2">
        <f t="shared" si="17"/>
        <v>17</v>
      </c>
      <c r="K43" s="6">
        <v>31</v>
      </c>
      <c r="L43" s="2">
        <f t="shared" si="3"/>
        <v>9.1499999999999986</v>
      </c>
      <c r="M43" s="2">
        <f t="shared" si="4"/>
        <v>9.9124999999999996</v>
      </c>
      <c r="N43" s="2">
        <f t="shared" si="5"/>
        <v>10.674999999999999</v>
      </c>
      <c r="O43" s="2">
        <f t="shared" si="6"/>
        <v>11.4375</v>
      </c>
      <c r="P43" s="2">
        <f t="shared" si="7"/>
        <v>12.2</v>
      </c>
      <c r="Q43" s="2">
        <f t="shared" si="8"/>
        <v>12.962499999999999</v>
      </c>
      <c r="S43" s="15">
        <f t="shared" si="9"/>
        <v>0.76249999999999996</v>
      </c>
      <c r="V43" s="6">
        <v>31</v>
      </c>
      <c r="W43" s="2">
        <f t="shared" si="10"/>
        <v>12</v>
      </c>
      <c r="X43" s="2">
        <f t="shared" si="11"/>
        <v>13</v>
      </c>
      <c r="Y43" s="2">
        <f t="shared" si="12"/>
        <v>14</v>
      </c>
      <c r="Z43" s="2">
        <f t="shared" si="13"/>
        <v>15</v>
      </c>
      <c r="AA43" s="2">
        <f t="shared" si="14"/>
        <v>16</v>
      </c>
      <c r="AB43" s="2">
        <f t="shared" si="15"/>
        <v>17</v>
      </c>
      <c r="AD43" s="7">
        <v>0</v>
      </c>
      <c r="AG43" s="16">
        <f t="shared" si="16"/>
        <v>1</v>
      </c>
    </row>
    <row r="44" spans="2:33" x14ac:dyDescent="0.25">
      <c r="B44" s="6">
        <v>32</v>
      </c>
      <c r="C44" s="8">
        <v>11</v>
      </c>
      <c r="D44" s="2">
        <f t="shared" si="17"/>
        <v>12</v>
      </c>
      <c r="E44" s="2">
        <f t="shared" si="17"/>
        <v>13</v>
      </c>
      <c r="F44" s="2">
        <f t="shared" si="17"/>
        <v>14</v>
      </c>
      <c r="G44" s="2">
        <f t="shared" si="17"/>
        <v>15</v>
      </c>
      <c r="H44" s="2">
        <f t="shared" si="17"/>
        <v>16</v>
      </c>
      <c r="K44" s="6">
        <v>32</v>
      </c>
      <c r="L44" s="2">
        <f t="shared" si="3"/>
        <v>8.6624999999999996</v>
      </c>
      <c r="M44" s="2">
        <f t="shared" si="4"/>
        <v>9.4499999999999993</v>
      </c>
      <c r="N44" s="2">
        <f t="shared" si="5"/>
        <v>10.237499999999999</v>
      </c>
      <c r="O44" s="2">
        <f t="shared" si="6"/>
        <v>11.025</v>
      </c>
      <c r="P44" s="2">
        <f t="shared" si="7"/>
        <v>11.8125</v>
      </c>
      <c r="Q44" s="2">
        <f t="shared" si="8"/>
        <v>12.6</v>
      </c>
      <c r="S44" s="15">
        <f t="shared" si="9"/>
        <v>0.78749999999999998</v>
      </c>
      <c r="V44" s="6">
        <v>32</v>
      </c>
      <c r="W44" s="2">
        <f t="shared" si="10"/>
        <v>11</v>
      </c>
      <c r="X44" s="2">
        <f t="shared" si="11"/>
        <v>12</v>
      </c>
      <c r="Y44" s="2">
        <f t="shared" si="12"/>
        <v>13</v>
      </c>
      <c r="Z44" s="2">
        <f t="shared" si="13"/>
        <v>14</v>
      </c>
      <c r="AA44" s="2">
        <f t="shared" si="14"/>
        <v>15</v>
      </c>
      <c r="AB44" s="2">
        <f t="shared" si="15"/>
        <v>16</v>
      </c>
      <c r="AD44" s="7">
        <v>0</v>
      </c>
      <c r="AG44" s="16">
        <f t="shared" si="16"/>
        <v>1</v>
      </c>
    </row>
    <row r="45" spans="2:33" x14ac:dyDescent="0.25">
      <c r="B45" s="6">
        <v>33</v>
      </c>
      <c r="C45" s="8">
        <v>10</v>
      </c>
      <c r="D45" s="2">
        <f t="shared" si="17"/>
        <v>11</v>
      </c>
      <c r="E45" s="2">
        <f t="shared" si="17"/>
        <v>12</v>
      </c>
      <c r="F45" s="2">
        <f t="shared" si="17"/>
        <v>13</v>
      </c>
      <c r="G45" s="2">
        <f t="shared" si="17"/>
        <v>14</v>
      </c>
      <c r="H45" s="2">
        <f t="shared" si="17"/>
        <v>15</v>
      </c>
      <c r="K45" s="6">
        <v>33</v>
      </c>
      <c r="L45" s="2">
        <f t="shared" si="3"/>
        <v>8.125</v>
      </c>
      <c r="M45" s="2">
        <f t="shared" si="4"/>
        <v>8.9375</v>
      </c>
      <c r="N45" s="2">
        <f t="shared" si="5"/>
        <v>9.75</v>
      </c>
      <c r="O45" s="2">
        <f t="shared" si="6"/>
        <v>10.5625</v>
      </c>
      <c r="P45" s="2">
        <f t="shared" si="7"/>
        <v>11.375</v>
      </c>
      <c r="Q45" s="2">
        <f t="shared" si="8"/>
        <v>12.1875</v>
      </c>
      <c r="S45" s="15">
        <f t="shared" si="9"/>
        <v>0.8125</v>
      </c>
      <c r="V45" s="6">
        <v>33</v>
      </c>
      <c r="W45" s="2">
        <f t="shared" si="10"/>
        <v>10</v>
      </c>
      <c r="X45" s="2">
        <f t="shared" si="11"/>
        <v>11</v>
      </c>
      <c r="Y45" s="2">
        <f t="shared" si="12"/>
        <v>12</v>
      </c>
      <c r="Z45" s="2">
        <f t="shared" si="13"/>
        <v>13</v>
      </c>
      <c r="AA45" s="2">
        <f t="shared" si="14"/>
        <v>14</v>
      </c>
      <c r="AB45" s="2">
        <f t="shared" si="15"/>
        <v>15</v>
      </c>
      <c r="AD45" s="7">
        <v>0</v>
      </c>
      <c r="AG45" s="16">
        <f t="shared" si="16"/>
        <v>1</v>
      </c>
    </row>
    <row r="46" spans="2:33" x14ac:dyDescent="0.25">
      <c r="B46" s="6">
        <v>34</v>
      </c>
      <c r="C46" s="8">
        <v>10</v>
      </c>
      <c r="D46" s="2">
        <f t="shared" si="17"/>
        <v>10</v>
      </c>
      <c r="E46" s="2">
        <f t="shared" si="17"/>
        <v>11</v>
      </c>
      <c r="F46" s="2">
        <f t="shared" si="17"/>
        <v>12</v>
      </c>
      <c r="G46" s="2">
        <f t="shared" si="17"/>
        <v>13</v>
      </c>
      <c r="H46" s="2">
        <f t="shared" si="17"/>
        <v>14</v>
      </c>
      <c r="K46" s="6">
        <v>34</v>
      </c>
      <c r="L46" s="2">
        <f t="shared" si="3"/>
        <v>8.375</v>
      </c>
      <c r="M46" s="2">
        <f t="shared" si="4"/>
        <v>8.375</v>
      </c>
      <c r="N46" s="2">
        <f t="shared" si="5"/>
        <v>9.2125000000000004</v>
      </c>
      <c r="O46" s="2">
        <f t="shared" si="6"/>
        <v>10.050000000000001</v>
      </c>
      <c r="P46" s="2">
        <f t="shared" si="7"/>
        <v>10.887500000000001</v>
      </c>
      <c r="Q46" s="2">
        <f t="shared" si="8"/>
        <v>11.725</v>
      </c>
      <c r="S46" s="15">
        <f t="shared" si="9"/>
        <v>0.83750000000000002</v>
      </c>
      <c r="V46" s="6">
        <v>34</v>
      </c>
      <c r="W46" s="2">
        <f t="shared" si="10"/>
        <v>10</v>
      </c>
      <c r="X46" s="2">
        <f t="shared" si="11"/>
        <v>10</v>
      </c>
      <c r="Y46" s="2">
        <f t="shared" si="12"/>
        <v>11</v>
      </c>
      <c r="Z46" s="2">
        <f t="shared" si="13"/>
        <v>12</v>
      </c>
      <c r="AA46" s="2">
        <f t="shared" si="14"/>
        <v>13</v>
      </c>
      <c r="AB46" s="2">
        <f t="shared" si="15"/>
        <v>14</v>
      </c>
      <c r="AD46" s="7">
        <v>0</v>
      </c>
      <c r="AG46" s="16">
        <f t="shared" si="16"/>
        <v>1</v>
      </c>
    </row>
    <row r="47" spans="2:33" x14ac:dyDescent="0.25">
      <c r="B47" s="6">
        <v>35</v>
      </c>
      <c r="C47" s="8">
        <v>10</v>
      </c>
      <c r="D47" s="2">
        <f t="shared" si="17"/>
        <v>10</v>
      </c>
      <c r="E47" s="2">
        <f t="shared" si="17"/>
        <v>10</v>
      </c>
      <c r="F47" s="2">
        <f t="shared" si="17"/>
        <v>11</v>
      </c>
      <c r="G47" s="2">
        <f t="shared" si="17"/>
        <v>12</v>
      </c>
      <c r="H47" s="2">
        <f t="shared" si="17"/>
        <v>13</v>
      </c>
      <c r="K47" s="6">
        <v>35</v>
      </c>
      <c r="L47" s="2">
        <f t="shared" si="3"/>
        <v>8.625</v>
      </c>
      <c r="M47" s="2">
        <f t="shared" si="4"/>
        <v>8.625</v>
      </c>
      <c r="N47" s="2">
        <f t="shared" si="5"/>
        <v>8.625</v>
      </c>
      <c r="O47" s="2">
        <f t="shared" si="6"/>
        <v>9.4875000000000007</v>
      </c>
      <c r="P47" s="2">
        <f t="shared" si="7"/>
        <v>10.350000000000001</v>
      </c>
      <c r="Q47" s="2">
        <f t="shared" si="8"/>
        <v>11.2125</v>
      </c>
      <c r="S47" s="15">
        <f t="shared" si="9"/>
        <v>0.86250000000000004</v>
      </c>
      <c r="V47" s="6">
        <v>35</v>
      </c>
      <c r="W47" s="2">
        <f t="shared" si="10"/>
        <v>10</v>
      </c>
      <c r="X47" s="2">
        <f t="shared" si="11"/>
        <v>10</v>
      </c>
      <c r="Y47" s="2">
        <f t="shared" si="12"/>
        <v>10</v>
      </c>
      <c r="Z47" s="2">
        <f t="shared" si="13"/>
        <v>11</v>
      </c>
      <c r="AA47" s="2">
        <f t="shared" si="14"/>
        <v>12</v>
      </c>
      <c r="AB47" s="2">
        <f t="shared" si="15"/>
        <v>13</v>
      </c>
      <c r="AD47" s="7">
        <v>0</v>
      </c>
      <c r="AG47" s="16">
        <f t="shared" si="16"/>
        <v>1</v>
      </c>
    </row>
    <row r="48" spans="2:33" x14ac:dyDescent="0.25">
      <c r="B48" s="6">
        <v>36</v>
      </c>
      <c r="C48" s="8">
        <v>10</v>
      </c>
      <c r="D48" s="2">
        <f t="shared" si="17"/>
        <v>10</v>
      </c>
      <c r="E48" s="2">
        <f t="shared" si="17"/>
        <v>10</v>
      </c>
      <c r="F48" s="2">
        <f t="shared" si="17"/>
        <v>10</v>
      </c>
      <c r="G48" s="2">
        <f t="shared" si="17"/>
        <v>11</v>
      </c>
      <c r="H48" s="2">
        <f t="shared" si="17"/>
        <v>12</v>
      </c>
      <c r="K48" s="6">
        <v>36</v>
      </c>
      <c r="L48" s="2">
        <f t="shared" si="3"/>
        <v>8.875</v>
      </c>
      <c r="M48" s="2">
        <f t="shared" si="4"/>
        <v>8.875</v>
      </c>
      <c r="N48" s="2">
        <f t="shared" si="5"/>
        <v>8.875</v>
      </c>
      <c r="O48" s="2">
        <f t="shared" si="6"/>
        <v>8.875</v>
      </c>
      <c r="P48" s="2">
        <f t="shared" si="7"/>
        <v>9.7624999999999993</v>
      </c>
      <c r="Q48" s="2">
        <f t="shared" si="8"/>
        <v>10.649999999999999</v>
      </c>
      <c r="S48" s="15">
        <f t="shared" si="9"/>
        <v>0.88749999999999996</v>
      </c>
      <c r="V48" s="6">
        <v>36</v>
      </c>
      <c r="W48" s="2">
        <f t="shared" si="10"/>
        <v>10</v>
      </c>
      <c r="X48" s="2">
        <f t="shared" si="11"/>
        <v>10</v>
      </c>
      <c r="Y48" s="2">
        <f t="shared" si="12"/>
        <v>10</v>
      </c>
      <c r="Z48" s="2">
        <f t="shared" si="13"/>
        <v>10</v>
      </c>
      <c r="AA48" s="2">
        <f t="shared" si="14"/>
        <v>11</v>
      </c>
      <c r="AB48" s="2">
        <f t="shared" si="15"/>
        <v>12</v>
      </c>
      <c r="AD48" s="7">
        <v>0</v>
      </c>
      <c r="AG48" s="16">
        <f t="shared" si="16"/>
        <v>1</v>
      </c>
    </row>
    <row r="49" spans="2:33" x14ac:dyDescent="0.25">
      <c r="B49" s="6">
        <v>37</v>
      </c>
      <c r="C49" s="8">
        <v>10</v>
      </c>
      <c r="D49" s="2">
        <f t="shared" si="17"/>
        <v>10</v>
      </c>
      <c r="E49" s="2">
        <f t="shared" si="17"/>
        <v>10</v>
      </c>
      <c r="F49" s="2">
        <f t="shared" si="17"/>
        <v>10</v>
      </c>
      <c r="G49" s="2">
        <f t="shared" si="17"/>
        <v>10</v>
      </c>
      <c r="H49" s="2">
        <f t="shared" si="17"/>
        <v>11</v>
      </c>
      <c r="K49" s="6">
        <v>37</v>
      </c>
      <c r="L49" s="2">
        <f t="shared" si="3"/>
        <v>9.125</v>
      </c>
      <c r="M49" s="2">
        <f t="shared" si="4"/>
        <v>9.125</v>
      </c>
      <c r="N49" s="2">
        <f t="shared" si="5"/>
        <v>9.125</v>
      </c>
      <c r="O49" s="2">
        <f t="shared" si="6"/>
        <v>9.125</v>
      </c>
      <c r="P49" s="2">
        <f t="shared" si="7"/>
        <v>9.125</v>
      </c>
      <c r="Q49" s="2">
        <f t="shared" si="8"/>
        <v>10.0375</v>
      </c>
      <c r="S49" s="15">
        <f t="shared" si="9"/>
        <v>0.91249999999999998</v>
      </c>
      <c r="V49" s="6">
        <v>37</v>
      </c>
      <c r="W49" s="2">
        <f t="shared" si="10"/>
        <v>10</v>
      </c>
      <c r="X49" s="2">
        <f t="shared" si="11"/>
        <v>10</v>
      </c>
      <c r="Y49" s="2">
        <f t="shared" si="12"/>
        <v>10</v>
      </c>
      <c r="Z49" s="2">
        <f t="shared" si="13"/>
        <v>10</v>
      </c>
      <c r="AA49" s="2">
        <f t="shared" si="14"/>
        <v>10</v>
      </c>
      <c r="AB49" s="2">
        <f t="shared" si="15"/>
        <v>11</v>
      </c>
      <c r="AD49" s="7">
        <v>0</v>
      </c>
      <c r="AG49" s="16">
        <f t="shared" si="16"/>
        <v>1</v>
      </c>
    </row>
    <row r="50" spans="2:33" x14ac:dyDescent="0.25">
      <c r="B50" s="6">
        <v>38</v>
      </c>
      <c r="C50" s="8">
        <v>10</v>
      </c>
      <c r="D50" s="2">
        <f t="shared" si="17"/>
        <v>10</v>
      </c>
      <c r="E50" s="2">
        <f t="shared" si="17"/>
        <v>10</v>
      </c>
      <c r="F50" s="2">
        <f t="shared" si="17"/>
        <v>10</v>
      </c>
      <c r="G50" s="2">
        <f t="shared" si="17"/>
        <v>10</v>
      </c>
      <c r="H50" s="2">
        <f t="shared" si="17"/>
        <v>10</v>
      </c>
      <c r="K50" s="6">
        <v>38</v>
      </c>
      <c r="L50" s="2">
        <f t="shared" si="3"/>
        <v>9.375</v>
      </c>
      <c r="M50" s="2">
        <f t="shared" si="4"/>
        <v>9.375</v>
      </c>
      <c r="N50" s="2">
        <f t="shared" si="5"/>
        <v>9.375</v>
      </c>
      <c r="O50" s="2">
        <f t="shared" si="6"/>
        <v>9.375</v>
      </c>
      <c r="P50" s="2">
        <f t="shared" si="7"/>
        <v>9.375</v>
      </c>
      <c r="Q50" s="2">
        <f t="shared" si="8"/>
        <v>9.375</v>
      </c>
      <c r="S50" s="15">
        <f t="shared" si="9"/>
        <v>0.9375</v>
      </c>
      <c r="V50" s="6">
        <v>38</v>
      </c>
      <c r="W50" s="2">
        <f t="shared" si="10"/>
        <v>10</v>
      </c>
      <c r="X50" s="2">
        <f t="shared" si="11"/>
        <v>10</v>
      </c>
      <c r="Y50" s="2">
        <f t="shared" si="12"/>
        <v>10</v>
      </c>
      <c r="Z50" s="2">
        <f t="shared" si="13"/>
        <v>10</v>
      </c>
      <c r="AA50" s="2">
        <f t="shared" si="14"/>
        <v>10</v>
      </c>
      <c r="AB50" s="2">
        <f t="shared" si="15"/>
        <v>10</v>
      </c>
      <c r="AD50" s="7">
        <v>0</v>
      </c>
      <c r="AG50" s="16">
        <f t="shared" si="16"/>
        <v>1</v>
      </c>
    </row>
    <row r="51" spans="2:33" x14ac:dyDescent="0.25">
      <c r="B51" s="6">
        <v>39</v>
      </c>
      <c r="C51" s="8">
        <v>10</v>
      </c>
      <c r="D51" s="2">
        <f t="shared" si="17"/>
        <v>10</v>
      </c>
      <c r="E51" s="2">
        <f t="shared" si="17"/>
        <v>10</v>
      </c>
      <c r="F51" s="2">
        <f t="shared" si="17"/>
        <v>10</v>
      </c>
      <c r="G51" s="2">
        <f t="shared" si="17"/>
        <v>10</v>
      </c>
      <c r="H51" s="2">
        <f t="shared" si="17"/>
        <v>10</v>
      </c>
      <c r="K51" s="6">
        <v>39</v>
      </c>
      <c r="L51" s="2">
        <f t="shared" si="3"/>
        <v>9.625</v>
      </c>
      <c r="M51" s="2">
        <f t="shared" si="4"/>
        <v>9.625</v>
      </c>
      <c r="N51" s="2">
        <f t="shared" si="5"/>
        <v>9.625</v>
      </c>
      <c r="O51" s="2">
        <f t="shared" si="6"/>
        <v>9.625</v>
      </c>
      <c r="P51" s="2">
        <f t="shared" si="7"/>
        <v>9.625</v>
      </c>
      <c r="Q51" s="2">
        <f t="shared" si="8"/>
        <v>9.625</v>
      </c>
      <c r="S51" s="15">
        <f t="shared" si="9"/>
        <v>0.96250000000000002</v>
      </c>
      <c r="V51" s="6">
        <v>39</v>
      </c>
      <c r="W51" s="2">
        <f t="shared" si="10"/>
        <v>10</v>
      </c>
      <c r="X51" s="2">
        <f t="shared" si="11"/>
        <v>10</v>
      </c>
      <c r="Y51" s="2">
        <f t="shared" si="12"/>
        <v>10</v>
      </c>
      <c r="Z51" s="2">
        <f t="shared" si="13"/>
        <v>10</v>
      </c>
      <c r="AA51" s="2">
        <f t="shared" si="14"/>
        <v>10</v>
      </c>
      <c r="AB51" s="2">
        <f t="shared" si="15"/>
        <v>10</v>
      </c>
      <c r="AD51" s="7">
        <v>0</v>
      </c>
      <c r="AG51" s="16">
        <f t="shared" si="16"/>
        <v>1</v>
      </c>
    </row>
    <row r="52" spans="2:33" x14ac:dyDescent="0.25">
      <c r="B52" s="6">
        <v>40</v>
      </c>
      <c r="C52" s="8">
        <v>10</v>
      </c>
      <c r="D52" s="2">
        <f t="shared" si="17"/>
        <v>10</v>
      </c>
      <c r="E52" s="2">
        <f t="shared" si="17"/>
        <v>10</v>
      </c>
      <c r="F52" s="2">
        <f t="shared" si="17"/>
        <v>10</v>
      </c>
      <c r="G52" s="2">
        <f t="shared" si="17"/>
        <v>10</v>
      </c>
      <c r="H52" s="2">
        <f t="shared" si="17"/>
        <v>10</v>
      </c>
      <c r="K52" s="6">
        <v>40</v>
      </c>
      <c r="L52" s="2">
        <f t="shared" si="3"/>
        <v>9.875</v>
      </c>
      <c r="M52" s="2">
        <f t="shared" si="4"/>
        <v>9.875</v>
      </c>
      <c r="N52" s="2">
        <f t="shared" si="5"/>
        <v>9.875</v>
      </c>
      <c r="O52" s="2">
        <f t="shared" si="6"/>
        <v>9.875</v>
      </c>
      <c r="P52" s="2">
        <f t="shared" si="7"/>
        <v>9.875</v>
      </c>
      <c r="Q52" s="2">
        <f t="shared" si="8"/>
        <v>9.875</v>
      </c>
      <c r="S52" s="15">
        <f t="shared" si="9"/>
        <v>0.98750000000000004</v>
      </c>
      <c r="V52" s="6">
        <v>40</v>
      </c>
      <c r="W52" s="2">
        <f t="shared" si="10"/>
        <v>10</v>
      </c>
      <c r="X52" s="2">
        <f t="shared" si="11"/>
        <v>10</v>
      </c>
      <c r="Y52" s="2">
        <f t="shared" si="12"/>
        <v>10</v>
      </c>
      <c r="Z52" s="2">
        <f t="shared" si="13"/>
        <v>10</v>
      </c>
      <c r="AA52" s="2">
        <f t="shared" si="14"/>
        <v>10</v>
      </c>
      <c r="AB52" s="2">
        <f t="shared" si="15"/>
        <v>10</v>
      </c>
      <c r="AD52" s="7">
        <v>0</v>
      </c>
      <c r="AG52" s="16">
        <f t="shared" si="16"/>
        <v>1</v>
      </c>
    </row>
    <row r="53" spans="2:33" x14ac:dyDescent="0.25">
      <c r="B53" s="6">
        <v>41</v>
      </c>
      <c r="C53" s="8">
        <v>10</v>
      </c>
      <c r="D53" s="2">
        <f t="shared" si="17"/>
        <v>10</v>
      </c>
      <c r="E53" s="2">
        <f t="shared" si="17"/>
        <v>10</v>
      </c>
      <c r="F53" s="2">
        <f t="shared" si="17"/>
        <v>10</v>
      </c>
      <c r="G53" s="2">
        <f t="shared" si="17"/>
        <v>10</v>
      </c>
      <c r="H53" s="2">
        <f t="shared" si="17"/>
        <v>10</v>
      </c>
      <c r="K53" s="6">
        <v>41</v>
      </c>
      <c r="L53" s="2">
        <f t="shared" si="3"/>
        <v>10</v>
      </c>
      <c r="M53" s="2">
        <f t="shared" si="4"/>
        <v>10</v>
      </c>
      <c r="N53" s="2">
        <f t="shared" si="5"/>
        <v>10</v>
      </c>
      <c r="O53" s="2">
        <f t="shared" si="6"/>
        <v>10</v>
      </c>
      <c r="P53" s="2">
        <f t="shared" si="7"/>
        <v>10</v>
      </c>
      <c r="Q53" s="2">
        <f t="shared" si="8"/>
        <v>10</v>
      </c>
      <c r="S53" s="15">
        <f t="shared" si="9"/>
        <v>1</v>
      </c>
      <c r="V53" s="6">
        <v>41</v>
      </c>
      <c r="W53" s="2">
        <f t="shared" si="10"/>
        <v>10</v>
      </c>
      <c r="X53" s="2">
        <f t="shared" si="11"/>
        <v>10</v>
      </c>
      <c r="Y53" s="2">
        <f t="shared" si="12"/>
        <v>10</v>
      </c>
      <c r="Z53" s="2">
        <f t="shared" si="13"/>
        <v>10</v>
      </c>
      <c r="AA53" s="2">
        <f t="shared" si="14"/>
        <v>10</v>
      </c>
      <c r="AB53" s="2">
        <f t="shared" si="15"/>
        <v>10</v>
      </c>
      <c r="AD53" s="7">
        <v>0</v>
      </c>
      <c r="AG53" s="16">
        <f t="shared" si="16"/>
        <v>1</v>
      </c>
    </row>
    <row r="54" spans="2:33" x14ac:dyDescent="0.25">
      <c r="B54" s="6">
        <v>42</v>
      </c>
      <c r="C54" s="2"/>
      <c r="D54" s="2">
        <f>C53+C54</f>
        <v>10</v>
      </c>
      <c r="E54" s="2">
        <f>D53+D54</f>
        <v>20</v>
      </c>
      <c r="F54" s="2">
        <f>E53+E54</f>
        <v>30</v>
      </c>
      <c r="G54" s="2">
        <f>F53+F54</f>
        <v>40</v>
      </c>
      <c r="H54" s="2">
        <f>G53+G54</f>
        <v>50</v>
      </c>
      <c r="K54" s="6">
        <v>42</v>
      </c>
      <c r="L54" s="2">
        <f t="shared" si="3"/>
        <v>0</v>
      </c>
      <c r="M54" s="2">
        <f t="shared" si="4"/>
        <v>10</v>
      </c>
      <c r="N54" s="2">
        <f t="shared" si="5"/>
        <v>20</v>
      </c>
      <c r="O54" s="2">
        <f t="shared" si="6"/>
        <v>30</v>
      </c>
      <c r="P54" s="2">
        <f t="shared" si="7"/>
        <v>40</v>
      </c>
      <c r="Q54" s="2">
        <f t="shared" si="8"/>
        <v>50</v>
      </c>
      <c r="S54" s="15">
        <f t="shared" si="9"/>
        <v>1</v>
      </c>
      <c r="V54" s="6">
        <v>42</v>
      </c>
      <c r="W54" s="2">
        <f t="shared" si="10"/>
        <v>0</v>
      </c>
      <c r="X54" s="2">
        <f t="shared" si="11"/>
        <v>10</v>
      </c>
      <c r="Y54" s="2">
        <f t="shared" si="12"/>
        <v>20</v>
      </c>
      <c r="Z54" s="2">
        <f t="shared" si="13"/>
        <v>30</v>
      </c>
      <c r="AA54" s="2">
        <f t="shared" si="14"/>
        <v>40</v>
      </c>
      <c r="AB54" s="2">
        <f t="shared" si="15"/>
        <v>50</v>
      </c>
      <c r="AG54" s="16">
        <f t="shared" si="16"/>
        <v>1</v>
      </c>
    </row>
    <row r="55" spans="2:33" x14ac:dyDescent="0.25">
      <c r="B55" s="4" t="s">
        <v>15</v>
      </c>
      <c r="C55" s="3">
        <f t="shared" ref="C55:H55" si="19">SUM(C13:C54)</f>
        <v>1005</v>
      </c>
      <c r="D55" s="3">
        <f t="shared" si="19"/>
        <v>1062</v>
      </c>
      <c r="E55" s="3">
        <f t="shared" si="19"/>
        <v>1122</v>
      </c>
      <c r="F55" s="3">
        <f t="shared" si="19"/>
        <v>1185</v>
      </c>
      <c r="G55" s="3">
        <f t="shared" si="19"/>
        <v>1251</v>
      </c>
      <c r="H55" s="3">
        <f t="shared" si="19"/>
        <v>1320</v>
      </c>
      <c r="K55" s="4" t="s">
        <v>15</v>
      </c>
      <c r="L55" s="3">
        <f t="shared" ref="L55:Q55" si="20">SUM(L13:L54)</f>
        <v>359.33749999999998</v>
      </c>
      <c r="M55" s="3">
        <f t="shared" si="20"/>
        <v>384.79999999999995</v>
      </c>
      <c r="N55" s="3">
        <f t="shared" si="20"/>
        <v>411.47500000000002</v>
      </c>
      <c r="O55" s="3">
        <f t="shared" si="20"/>
        <v>439.43750000000006</v>
      </c>
      <c r="P55" s="3">
        <f t="shared" si="20"/>
        <v>468.76249999999993</v>
      </c>
      <c r="Q55" s="3">
        <f t="shared" si="20"/>
        <v>499.52499999999998</v>
      </c>
      <c r="V55" s="4" t="s">
        <v>15</v>
      </c>
      <c r="W55" s="3">
        <f t="shared" ref="W55:AB55" si="21">SUM(W13:W54)</f>
        <v>841.999265108386</v>
      </c>
      <c r="X55" s="3">
        <f t="shared" si="21"/>
        <v>891.03942812871458</v>
      </c>
      <c r="Y55" s="3">
        <f t="shared" si="21"/>
        <v>942.43167516297797</v>
      </c>
      <c r="Z55" s="3">
        <f t="shared" si="21"/>
        <v>996.24550155518648</v>
      </c>
      <c r="AA55" s="3">
        <f t="shared" si="21"/>
        <v>1052.6503925483726</v>
      </c>
      <c r="AB55" s="3">
        <f t="shared" si="21"/>
        <v>1111.691830339541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9747D5-F655-4B25-903A-AA6959CF112F}">
  <ds:schemaRefs>
    <ds:schemaRef ds:uri="http://www.w3.org/2001/XMLSchema"/>
    <ds:schemaRef ds:uri="http://www.boozallen.com/argo/gui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Rate Base Model L1</vt:lpstr>
      <vt:lpstr>Plant in Service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</dc:creator>
  <cp:lastModifiedBy>Michael</cp:lastModifiedBy>
  <dcterms:created xsi:type="dcterms:W3CDTF">2018-01-04T13:09:01Z</dcterms:created>
  <dcterms:modified xsi:type="dcterms:W3CDTF">2018-01-05T13:38:48Z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{C20D0B74-FA5E-431A-A1F6-8814105FB682}</vt:lpwstr>
  </property>
</Properties>
</file>