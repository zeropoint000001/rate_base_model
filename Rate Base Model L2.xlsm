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\Desktop\Website Pics\"/>
    </mc:Choice>
  </mc:AlternateContent>
  <bookViews>
    <workbookView xWindow="0" yWindow="0" windowWidth="11670" windowHeight="5925"/>
  </bookViews>
  <sheets>
    <sheet name="Financial Forecast" sheetId="7" r:id="rId1"/>
    <sheet name="Rate Base &amp; Revenue Req" sheetId="10" r:id="rId2"/>
    <sheet name="Assumptions" sheetId="9" r:id="rId3"/>
    <sheet name="Plant in Service" sheetId="2" r:id="rId4"/>
  </sheets>
  <functionGroups builtInGroupCount="18"/>
  <definedNames>
    <definedName name="solver_adj" localSheetId="3" hidden="1">'Plant in Service'!$A$13:$A$53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'Plant in Service'!$A$13:$A$53</definedName>
    <definedName name="solver_lhs2" localSheetId="3" hidden="1">'Plant in Service'!$B$58</definedName>
    <definedName name="solver_lhs3" localSheetId="3" hidden="1">'Plant in Service'!$B$59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'Plant in Service'!$D$58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2</definedName>
    <definedName name="solver_rel3" localSheetId="3" hidden="1">1</definedName>
    <definedName name="solver_rhs1" localSheetId="3" hidden="1">0</definedName>
    <definedName name="solver_rhs2" localSheetId="3" hidden="1">1</definedName>
    <definedName name="solver_rhs3" localSheetId="3" hidden="1">0.15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1756</definedName>
    <definedName name="solver_ver" localSheetId="3" hidden="1">3</definedName>
  </definedNames>
  <calcPr calcId="152511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" l="1"/>
  <c r="D8" i="2"/>
  <c r="F86" i="9"/>
  <c r="G86" i="9"/>
  <c r="H86" i="9" s="1"/>
  <c r="I86" i="9" s="1"/>
  <c r="J86" i="9" s="1"/>
  <c r="F85" i="9"/>
  <c r="G85" i="9" s="1"/>
  <c r="H85" i="9" s="1"/>
  <c r="I85" i="9" s="1"/>
  <c r="J85" i="9" s="1"/>
  <c r="G76" i="9"/>
  <c r="G80" i="9" s="1"/>
  <c r="H76" i="9"/>
  <c r="I76" i="9"/>
  <c r="I81" i="9" s="1"/>
  <c r="K76" i="9"/>
  <c r="K86" i="9" s="1"/>
  <c r="J76" i="9"/>
  <c r="G19" i="9"/>
  <c r="H19" i="9" s="1"/>
  <c r="I19" i="9" s="1"/>
  <c r="J19" i="9" s="1"/>
  <c r="K19" i="9" s="1"/>
  <c r="G20" i="9"/>
  <c r="H20" i="9" s="1"/>
  <c r="I20" i="9" s="1"/>
  <c r="J20" i="9" s="1"/>
  <c r="K20" i="9" s="1"/>
  <c r="G22" i="9"/>
  <c r="H22" i="9" s="1"/>
  <c r="I22" i="9" s="1"/>
  <c r="J22" i="9" s="1"/>
  <c r="K22" i="9" s="1"/>
  <c r="G23" i="9"/>
  <c r="H23" i="9" s="1"/>
  <c r="I23" i="9" s="1"/>
  <c r="J23" i="9" s="1"/>
  <c r="K23" i="9" s="1"/>
  <c r="G25" i="9"/>
  <c r="H25" i="9" s="1"/>
  <c r="G26" i="9"/>
  <c r="H26" i="9" s="1"/>
  <c r="I26" i="9" s="1"/>
  <c r="J26" i="9" s="1"/>
  <c r="K26" i="9" s="1"/>
  <c r="F28" i="9"/>
  <c r="G29" i="9"/>
  <c r="H29" i="9" s="1"/>
  <c r="I29" i="9" s="1"/>
  <c r="J29" i="9" s="1"/>
  <c r="K29" i="9" s="1"/>
  <c r="D2" i="2"/>
  <c r="G50" i="10"/>
  <c r="G33" i="10"/>
  <c r="G5" i="10"/>
  <c r="AN12" i="2"/>
  <c r="AO12" i="2" s="1"/>
  <c r="AP12" i="2" s="1"/>
  <c r="AQ12" i="2" s="1"/>
  <c r="AR12" i="2" s="1"/>
  <c r="AS12" i="2" s="1"/>
  <c r="U12" i="2"/>
  <c r="V12" i="2" s="1"/>
  <c r="W12" i="2" s="1"/>
  <c r="X12" i="2" s="1"/>
  <c r="Y12" i="2" s="1"/>
  <c r="Z12" i="2" s="1"/>
  <c r="L12" i="2"/>
  <c r="M12" i="2" s="1"/>
  <c r="N12" i="2" s="1"/>
  <c r="O12" i="2" s="1"/>
  <c r="P12" i="2" s="1"/>
  <c r="Q12" i="2" s="1"/>
  <c r="C12" i="2"/>
  <c r="D12" i="2" s="1"/>
  <c r="E12" i="2" s="1"/>
  <c r="F12" i="2" s="1"/>
  <c r="G12" i="2" s="1"/>
  <c r="H12" i="2" s="1"/>
  <c r="D56" i="2"/>
  <c r="C58" i="2"/>
  <c r="D55" i="2" s="1"/>
  <c r="K85" i="9" l="1"/>
  <c r="G81" i="9"/>
  <c r="H81" i="9"/>
  <c r="K81" i="9"/>
  <c r="G82" i="9"/>
  <c r="J81" i="9"/>
  <c r="K65" i="9"/>
  <c r="J65" i="9"/>
  <c r="I65" i="9"/>
  <c r="G65" i="9"/>
  <c r="H65" i="9"/>
  <c r="G28" i="9"/>
  <c r="H28" i="9"/>
  <c r="I25" i="9"/>
  <c r="F35" i="9"/>
  <c r="J25" i="9" l="1"/>
  <c r="I28" i="9"/>
  <c r="G61" i="10"/>
  <c r="K25" i="9" l="1"/>
  <c r="K28" i="9" s="1"/>
  <c r="J28" i="9"/>
  <c r="G4" i="7" l="1"/>
  <c r="H4" i="7" s="1"/>
  <c r="I4" i="7" s="1"/>
  <c r="J4" i="7" s="1"/>
  <c r="K4" i="7" s="1"/>
  <c r="H5" i="10"/>
  <c r="F72" i="9"/>
  <c r="G72" i="9" s="1"/>
  <c r="H72" i="9" s="1"/>
  <c r="I72" i="9" s="1"/>
  <c r="J72" i="9" s="1"/>
  <c r="K72" i="9" s="1"/>
  <c r="F54" i="9"/>
  <c r="G54" i="9" s="1"/>
  <c r="H54" i="9" s="1"/>
  <c r="I54" i="9" s="1"/>
  <c r="J54" i="9" s="1"/>
  <c r="K54" i="9" s="1"/>
  <c r="F33" i="9"/>
  <c r="G33" i="9" s="1"/>
  <c r="H33" i="9" s="1"/>
  <c r="I33" i="9" s="1"/>
  <c r="J33" i="9" s="1"/>
  <c r="K33" i="9" s="1"/>
  <c r="F17" i="9"/>
  <c r="G17" i="9" s="1"/>
  <c r="H17" i="9" s="1"/>
  <c r="I17" i="9" s="1"/>
  <c r="J17" i="9" s="1"/>
  <c r="K17" i="9" s="1"/>
  <c r="D4" i="2"/>
  <c r="D3" i="2"/>
  <c r="I5" i="10" l="1"/>
  <c r="H33" i="10"/>
  <c r="H50" i="10"/>
  <c r="G14" i="10"/>
  <c r="G15" i="10"/>
  <c r="J5" i="10" l="1"/>
  <c r="I50" i="10"/>
  <c r="I33" i="10"/>
  <c r="G22" i="10"/>
  <c r="H23" i="10"/>
  <c r="G23" i="10"/>
  <c r="G21" i="10"/>
  <c r="K5" i="10" l="1"/>
  <c r="J50" i="10"/>
  <c r="J33" i="10"/>
  <c r="G55" i="10"/>
  <c r="G62" i="10"/>
  <c r="G58" i="10"/>
  <c r="H14" i="10"/>
  <c r="I23" i="10"/>
  <c r="H15" i="10"/>
  <c r="H21" i="10"/>
  <c r="H22" i="10"/>
  <c r="K33" i="10" l="1"/>
  <c r="K50" i="10"/>
  <c r="H58" i="10"/>
  <c r="H62" i="10"/>
  <c r="G9" i="10"/>
  <c r="J23" i="10"/>
  <c r="I21" i="10"/>
  <c r="I22" i="10"/>
  <c r="I15" i="10"/>
  <c r="I14" i="10"/>
  <c r="J62" i="10" l="1"/>
  <c r="I62" i="10"/>
  <c r="I58" i="10"/>
  <c r="K23" i="10"/>
  <c r="J14" i="10"/>
  <c r="K22" i="10"/>
  <c r="J22" i="10"/>
  <c r="K15" i="10"/>
  <c r="J15" i="10"/>
  <c r="K21" i="10"/>
  <c r="J21" i="10"/>
  <c r="K58" i="10" l="1"/>
  <c r="J58" i="10"/>
  <c r="K14" i="10"/>
  <c r="H10" i="7" l="1"/>
  <c r="G10" i="7"/>
  <c r="G41" i="10"/>
  <c r="I10" i="7" l="1"/>
  <c r="H41" i="10"/>
  <c r="H44" i="7" s="1"/>
  <c r="J10" i="7" l="1"/>
  <c r="I41" i="10"/>
  <c r="I44" i="7" s="1"/>
  <c r="K10" i="7" l="1"/>
  <c r="J41" i="10"/>
  <c r="J44" i="7" s="1"/>
  <c r="K41" i="10" l="1"/>
  <c r="M10" i="7"/>
  <c r="K44" i="7"/>
  <c r="G14" i="7" l="1"/>
  <c r="G64" i="9"/>
  <c r="G66" i="9" l="1"/>
  <c r="G12" i="7"/>
  <c r="AC14" i="2"/>
  <c r="AC15" i="2"/>
  <c r="AC16" i="2"/>
  <c r="AC17" i="2"/>
  <c r="AC18" i="2"/>
  <c r="AC19" i="2"/>
  <c r="L19" i="2" s="1"/>
  <c r="AC20" i="2"/>
  <c r="L20" i="2" s="1"/>
  <c r="AC21" i="2"/>
  <c r="L21" i="2" s="1"/>
  <c r="AC22" i="2"/>
  <c r="L22" i="2" s="1"/>
  <c r="AC23" i="2"/>
  <c r="L23" i="2" s="1"/>
  <c r="AC24" i="2"/>
  <c r="L24" i="2" s="1"/>
  <c r="AC25" i="2"/>
  <c r="L25" i="2" s="1"/>
  <c r="AC26" i="2"/>
  <c r="L26" i="2" s="1"/>
  <c r="AC27" i="2"/>
  <c r="L27" i="2" s="1"/>
  <c r="AC28" i="2"/>
  <c r="L28" i="2" s="1"/>
  <c r="AC29" i="2"/>
  <c r="L29" i="2" s="1"/>
  <c r="AC30" i="2"/>
  <c r="L30" i="2" s="1"/>
  <c r="AC31" i="2"/>
  <c r="L31" i="2" s="1"/>
  <c r="AC32" i="2"/>
  <c r="L32" i="2" s="1"/>
  <c r="AC33" i="2"/>
  <c r="L33" i="2" s="1"/>
  <c r="AC34" i="2"/>
  <c r="L34" i="2" s="1"/>
  <c r="AC35" i="2"/>
  <c r="L35" i="2" s="1"/>
  <c r="AC36" i="2"/>
  <c r="L36" i="2" s="1"/>
  <c r="AC37" i="2"/>
  <c r="L37" i="2" s="1"/>
  <c r="AC38" i="2"/>
  <c r="L38" i="2" s="1"/>
  <c r="AC39" i="2"/>
  <c r="L39" i="2" s="1"/>
  <c r="AC40" i="2"/>
  <c r="L40" i="2" s="1"/>
  <c r="AC41" i="2"/>
  <c r="L41" i="2" s="1"/>
  <c r="AC42" i="2"/>
  <c r="L42" i="2" s="1"/>
  <c r="AC43" i="2"/>
  <c r="L43" i="2" s="1"/>
  <c r="AC44" i="2"/>
  <c r="L44" i="2" s="1"/>
  <c r="AC45" i="2"/>
  <c r="L45" i="2" s="1"/>
  <c r="AC46" i="2"/>
  <c r="L46" i="2" s="1"/>
  <c r="AC47" i="2"/>
  <c r="L47" i="2" s="1"/>
  <c r="AC48" i="2"/>
  <c r="L48" i="2" s="1"/>
  <c r="AC49" i="2"/>
  <c r="L49" i="2" s="1"/>
  <c r="AC50" i="2"/>
  <c r="L50" i="2" s="1"/>
  <c r="AC51" i="2"/>
  <c r="L51" i="2" s="1"/>
  <c r="AC52" i="2"/>
  <c r="L52" i="2" s="1"/>
  <c r="AC53" i="2"/>
  <c r="L53" i="2" s="1"/>
  <c r="AC54" i="2"/>
  <c r="L54" i="2" s="1"/>
  <c r="AC13" i="2"/>
  <c r="AE36" i="2"/>
  <c r="AE51" i="2"/>
  <c r="AE43" i="2"/>
  <c r="AE46" i="2"/>
  <c r="AE35" i="2"/>
  <c r="AE29" i="2"/>
  <c r="AE41" i="2"/>
  <c r="AE49" i="2"/>
  <c r="AE42" i="2"/>
  <c r="AE24" i="2"/>
  <c r="AE44" i="2"/>
  <c r="AE53" i="2"/>
  <c r="AE39" i="2"/>
  <c r="AE17" i="2"/>
  <c r="AE15" i="2"/>
  <c r="AE25" i="2"/>
  <c r="AE30" i="2"/>
  <c r="AE40" i="2"/>
  <c r="AE26" i="2"/>
  <c r="AE45" i="2"/>
  <c r="AE33" i="2"/>
  <c r="AE50" i="2"/>
  <c r="AE52" i="2"/>
  <c r="AE38" i="2"/>
  <c r="AE13" i="2"/>
  <c r="AE23" i="2"/>
  <c r="AE14" i="2"/>
  <c r="AE19" i="2"/>
  <c r="AE16" i="2"/>
  <c r="AE54" i="2"/>
  <c r="AE21" i="2"/>
  <c r="AE37" i="2"/>
  <c r="AE34" i="2"/>
  <c r="AE47" i="2"/>
  <c r="AE32" i="2"/>
  <c r="AE28" i="2"/>
  <c r="AE27" i="2"/>
  <c r="AE20" i="2"/>
  <c r="AE22" i="2"/>
  <c r="L14" i="2" l="1"/>
  <c r="L17" i="2"/>
  <c r="L16" i="2"/>
  <c r="L18" i="2"/>
  <c r="L15" i="2"/>
  <c r="L13" i="2"/>
  <c r="U13" i="2"/>
  <c r="U45" i="2"/>
  <c r="U29" i="2"/>
  <c r="U17" i="2"/>
  <c r="U52" i="2"/>
  <c r="U44" i="2"/>
  <c r="U40" i="2"/>
  <c r="U36" i="2"/>
  <c r="U32" i="2"/>
  <c r="U28" i="2"/>
  <c r="U24" i="2"/>
  <c r="U20" i="2"/>
  <c r="U16" i="2"/>
  <c r="U53" i="2"/>
  <c r="U41" i="2"/>
  <c r="U33" i="2"/>
  <c r="U25" i="2"/>
  <c r="U51" i="2"/>
  <c r="U47" i="2"/>
  <c r="U43" i="2"/>
  <c r="U39" i="2"/>
  <c r="U35" i="2"/>
  <c r="U27" i="2"/>
  <c r="U23" i="2"/>
  <c r="U19" i="2"/>
  <c r="U15" i="2"/>
  <c r="U49" i="2"/>
  <c r="U37" i="2"/>
  <c r="U21" i="2"/>
  <c r="U50" i="2"/>
  <c r="U46" i="2"/>
  <c r="U42" i="2"/>
  <c r="U38" i="2"/>
  <c r="U34" i="2"/>
  <c r="U30" i="2"/>
  <c r="U26" i="2"/>
  <c r="U22" i="2"/>
  <c r="U14" i="2"/>
  <c r="U54" i="2"/>
  <c r="AE18" i="2"/>
  <c r="AE31" i="2"/>
  <c r="AE48" i="2"/>
  <c r="L58" i="2" l="1"/>
  <c r="AN13" i="2" s="1"/>
  <c r="U48" i="2"/>
  <c r="U31" i="2"/>
  <c r="U18" i="2"/>
  <c r="D13" i="2"/>
  <c r="U58" i="2" l="1"/>
  <c r="V55" i="2" s="1"/>
  <c r="F36" i="9"/>
  <c r="M55" i="2"/>
  <c r="E14" i="2"/>
  <c r="N14" i="2" s="1"/>
  <c r="M13" i="2"/>
  <c r="V13" i="2"/>
  <c r="D14" i="2"/>
  <c r="D15" i="2"/>
  <c r="AN14" i="2" l="1"/>
  <c r="W14" i="2"/>
  <c r="F15" i="2"/>
  <c r="F37" i="9"/>
  <c r="M15" i="2"/>
  <c r="V15" i="2"/>
  <c r="O15" i="2"/>
  <c r="X15" i="2"/>
  <c r="M14" i="2"/>
  <c r="V14" i="2"/>
  <c r="G16" i="2"/>
  <c r="E15" i="2"/>
  <c r="D16" i="2"/>
  <c r="E16" i="2"/>
  <c r="M16" i="2" l="1"/>
  <c r="V16" i="2"/>
  <c r="N15" i="2"/>
  <c r="W15" i="2"/>
  <c r="P16" i="2"/>
  <c r="Y16" i="2"/>
  <c r="N16" i="2"/>
  <c r="W16" i="2"/>
  <c r="H17" i="2"/>
  <c r="F16" i="2"/>
  <c r="F17" i="2"/>
  <c r="E17" i="2"/>
  <c r="D17" i="2"/>
  <c r="O17" i="2" l="1"/>
  <c r="X17" i="2"/>
  <c r="O16" i="2"/>
  <c r="X16" i="2"/>
  <c r="M17" i="2"/>
  <c r="V17" i="2"/>
  <c r="N17" i="2"/>
  <c r="W17" i="2"/>
  <c r="Q17" i="2"/>
  <c r="Z17" i="2"/>
  <c r="G17" i="2"/>
  <c r="F18" i="2"/>
  <c r="G18" i="2"/>
  <c r="D18" i="2"/>
  <c r="E18" i="2"/>
  <c r="N18" i="2" l="1"/>
  <c r="W18" i="2"/>
  <c r="P17" i="2"/>
  <c r="Y17" i="2"/>
  <c r="P18" i="2"/>
  <c r="Y18" i="2"/>
  <c r="O18" i="2"/>
  <c r="X18" i="2"/>
  <c r="M18" i="2"/>
  <c r="V18" i="2"/>
  <c r="H18" i="2"/>
  <c r="H19" i="2"/>
  <c r="F19" i="2"/>
  <c r="G19" i="2"/>
  <c r="E19" i="2"/>
  <c r="D19" i="2"/>
  <c r="O19" i="2" l="1"/>
  <c r="X19" i="2"/>
  <c r="M19" i="2"/>
  <c r="V19" i="2"/>
  <c r="Q19" i="2"/>
  <c r="Z19" i="2"/>
  <c r="N19" i="2"/>
  <c r="W19" i="2"/>
  <c r="Q18" i="2"/>
  <c r="Z18" i="2"/>
  <c r="P19" i="2"/>
  <c r="Y19" i="2"/>
  <c r="H20" i="2"/>
  <c r="E20" i="2"/>
  <c r="G20" i="2"/>
  <c r="F20" i="2"/>
  <c r="D20" i="2"/>
  <c r="M20" i="2" l="1"/>
  <c r="V20" i="2"/>
  <c r="Q20" i="2"/>
  <c r="Z20" i="2"/>
  <c r="O20" i="2"/>
  <c r="X20" i="2"/>
  <c r="P20" i="2"/>
  <c r="Y20" i="2"/>
  <c r="N20" i="2"/>
  <c r="W20" i="2"/>
  <c r="H21" i="2"/>
  <c r="E21" i="2"/>
  <c r="F21" i="2"/>
  <c r="D21" i="2"/>
  <c r="G21" i="2"/>
  <c r="O21" i="2" l="1"/>
  <c r="X21" i="2"/>
  <c r="N21" i="2"/>
  <c r="W21" i="2"/>
  <c r="P21" i="2"/>
  <c r="Y21" i="2"/>
  <c r="Q21" i="2"/>
  <c r="Z21" i="2"/>
  <c r="M21" i="2"/>
  <c r="V21" i="2"/>
  <c r="H22" i="2"/>
  <c r="F22" i="2"/>
  <c r="E22" i="2"/>
  <c r="D22" i="2"/>
  <c r="G22" i="2"/>
  <c r="P22" i="2" l="1"/>
  <c r="Y22" i="2"/>
  <c r="N22" i="2"/>
  <c r="W22" i="2"/>
  <c r="O22" i="2"/>
  <c r="X22" i="2"/>
  <c r="Q22" i="2"/>
  <c r="Z22" i="2"/>
  <c r="M22" i="2"/>
  <c r="V22" i="2"/>
  <c r="F23" i="2"/>
  <c r="H23" i="2"/>
  <c r="G23" i="2"/>
  <c r="D23" i="2"/>
  <c r="E23" i="2"/>
  <c r="Q23" i="2" l="1"/>
  <c r="Z23" i="2"/>
  <c r="N23" i="2"/>
  <c r="W23" i="2"/>
  <c r="O23" i="2"/>
  <c r="X23" i="2"/>
  <c r="P23" i="2"/>
  <c r="Y23" i="2"/>
  <c r="M23" i="2"/>
  <c r="V23" i="2"/>
  <c r="H24" i="2"/>
  <c r="F24" i="2"/>
  <c r="E24" i="2"/>
  <c r="G24" i="2"/>
  <c r="D24" i="2"/>
  <c r="M24" i="2" l="1"/>
  <c r="V24" i="2"/>
  <c r="Q24" i="2"/>
  <c r="Z24" i="2"/>
  <c r="N24" i="2"/>
  <c r="W24" i="2"/>
  <c r="O24" i="2"/>
  <c r="X24" i="2"/>
  <c r="P24" i="2"/>
  <c r="Y24" i="2"/>
  <c r="E25" i="2"/>
  <c r="G25" i="2"/>
  <c r="D25" i="2"/>
  <c r="H25" i="2"/>
  <c r="F25" i="2"/>
  <c r="M25" i="2" l="1"/>
  <c r="V25" i="2"/>
  <c r="O25" i="2"/>
  <c r="X25" i="2"/>
  <c r="N25" i="2"/>
  <c r="W25" i="2"/>
  <c r="P25" i="2"/>
  <c r="Y25" i="2"/>
  <c r="Q25" i="2"/>
  <c r="Z25" i="2"/>
  <c r="E26" i="2"/>
  <c r="G26" i="2"/>
  <c r="H26" i="2"/>
  <c r="F26" i="2"/>
  <c r="D26" i="2"/>
  <c r="M26" i="2" l="1"/>
  <c r="V26" i="2"/>
  <c r="N26" i="2"/>
  <c r="W26" i="2"/>
  <c r="Q26" i="2"/>
  <c r="Z26" i="2"/>
  <c r="P26" i="2"/>
  <c r="Y26" i="2"/>
  <c r="O26" i="2"/>
  <c r="X26" i="2"/>
  <c r="E27" i="2"/>
  <c r="G27" i="2"/>
  <c r="H27" i="2"/>
  <c r="F27" i="2"/>
  <c r="D27" i="2"/>
  <c r="Q27" i="2" l="1"/>
  <c r="Z27" i="2"/>
  <c r="P27" i="2"/>
  <c r="Y27" i="2"/>
  <c r="M27" i="2"/>
  <c r="V27" i="2"/>
  <c r="N27" i="2"/>
  <c r="W27" i="2"/>
  <c r="O27" i="2"/>
  <c r="X27" i="2"/>
  <c r="G28" i="2"/>
  <c r="H28" i="2"/>
  <c r="E28" i="2"/>
  <c r="F28" i="2"/>
  <c r="D28" i="2"/>
  <c r="P28" i="2" l="1"/>
  <c r="Y28" i="2"/>
  <c r="N28" i="2"/>
  <c r="W28" i="2"/>
  <c r="Q28" i="2"/>
  <c r="Z28" i="2"/>
  <c r="M28" i="2"/>
  <c r="V28" i="2"/>
  <c r="O28" i="2"/>
  <c r="X28" i="2"/>
  <c r="E29" i="2"/>
  <c r="F29" i="2"/>
  <c r="H29" i="2"/>
  <c r="G29" i="2"/>
  <c r="D29" i="2"/>
  <c r="Q29" i="2" l="1"/>
  <c r="Z29" i="2"/>
  <c r="O29" i="2"/>
  <c r="X29" i="2"/>
  <c r="M29" i="2"/>
  <c r="V29" i="2"/>
  <c r="N29" i="2"/>
  <c r="W29" i="2"/>
  <c r="P29" i="2"/>
  <c r="Y29" i="2"/>
  <c r="H30" i="2"/>
  <c r="G30" i="2"/>
  <c r="E30" i="2"/>
  <c r="F30" i="2"/>
  <c r="D30" i="2"/>
  <c r="M30" i="2" l="1"/>
  <c r="V30" i="2"/>
  <c r="N30" i="2"/>
  <c r="W30" i="2"/>
  <c r="P30" i="2"/>
  <c r="Y30" i="2"/>
  <c r="Q30" i="2"/>
  <c r="Z30" i="2"/>
  <c r="O30" i="2"/>
  <c r="X30" i="2"/>
  <c r="G31" i="2"/>
  <c r="H31" i="2"/>
  <c r="E31" i="2"/>
  <c r="F31" i="2"/>
  <c r="D31" i="2"/>
  <c r="Q31" i="2" l="1"/>
  <c r="Z31" i="2"/>
  <c r="M31" i="2"/>
  <c r="V31" i="2"/>
  <c r="P31" i="2"/>
  <c r="Y31" i="2"/>
  <c r="N31" i="2"/>
  <c r="W31" i="2"/>
  <c r="O31" i="2"/>
  <c r="X31" i="2"/>
  <c r="G32" i="2"/>
  <c r="E32" i="2"/>
  <c r="F32" i="2"/>
  <c r="H32" i="2"/>
  <c r="D32" i="2"/>
  <c r="P32" i="2" l="1"/>
  <c r="Y32" i="2"/>
  <c r="O32" i="2"/>
  <c r="X32" i="2"/>
  <c r="N32" i="2"/>
  <c r="W32" i="2"/>
  <c r="M32" i="2"/>
  <c r="V32" i="2"/>
  <c r="Q32" i="2"/>
  <c r="Z32" i="2"/>
  <c r="E33" i="2"/>
  <c r="F33" i="2"/>
  <c r="G33" i="2"/>
  <c r="H33" i="2"/>
  <c r="D33" i="2"/>
  <c r="O33" i="2" l="1"/>
  <c r="X33" i="2"/>
  <c r="M33" i="2"/>
  <c r="V33" i="2"/>
  <c r="N33" i="2"/>
  <c r="W33" i="2"/>
  <c r="P33" i="2"/>
  <c r="Y33" i="2"/>
  <c r="Q33" i="2"/>
  <c r="Z33" i="2"/>
  <c r="E34" i="2"/>
  <c r="H34" i="2"/>
  <c r="F34" i="2"/>
  <c r="G34" i="2"/>
  <c r="D34" i="2"/>
  <c r="M34" i="2" l="1"/>
  <c r="V34" i="2"/>
  <c r="N34" i="2"/>
  <c r="W34" i="2"/>
  <c r="O34" i="2"/>
  <c r="X34" i="2"/>
  <c r="Q34" i="2"/>
  <c r="Z34" i="2"/>
  <c r="P34" i="2"/>
  <c r="Y34" i="2"/>
  <c r="H35" i="2"/>
  <c r="E35" i="2"/>
  <c r="G35" i="2"/>
  <c r="F35" i="2"/>
  <c r="D35" i="2"/>
  <c r="P35" i="2" l="1"/>
  <c r="Y35" i="2"/>
  <c r="N35" i="2"/>
  <c r="W35" i="2"/>
  <c r="M35" i="2"/>
  <c r="V35" i="2"/>
  <c r="Q35" i="2"/>
  <c r="Z35" i="2"/>
  <c r="O35" i="2"/>
  <c r="X35" i="2"/>
  <c r="E36" i="2"/>
  <c r="G36" i="2"/>
  <c r="F36" i="2"/>
  <c r="H36" i="2"/>
  <c r="D36" i="2"/>
  <c r="M36" i="2" l="1"/>
  <c r="V36" i="2"/>
  <c r="N36" i="2"/>
  <c r="W36" i="2"/>
  <c r="O36" i="2"/>
  <c r="X36" i="2"/>
  <c r="P36" i="2"/>
  <c r="Y36" i="2"/>
  <c r="Q36" i="2"/>
  <c r="Z36" i="2"/>
  <c r="E37" i="2"/>
  <c r="H37" i="2"/>
  <c r="G37" i="2"/>
  <c r="F37" i="2"/>
  <c r="D37" i="2"/>
  <c r="P37" i="2" l="1"/>
  <c r="Y37" i="2"/>
  <c r="Q37" i="2"/>
  <c r="Z37" i="2"/>
  <c r="M37" i="2"/>
  <c r="V37" i="2"/>
  <c r="N37" i="2"/>
  <c r="W37" i="2"/>
  <c r="O37" i="2"/>
  <c r="X37" i="2"/>
  <c r="E38" i="2"/>
  <c r="F38" i="2"/>
  <c r="H38" i="2"/>
  <c r="G38" i="2"/>
  <c r="D38" i="2"/>
  <c r="M38" i="2" l="1"/>
  <c r="V38" i="2"/>
  <c r="N38" i="2"/>
  <c r="W38" i="2"/>
  <c r="P38" i="2"/>
  <c r="Y38" i="2"/>
  <c r="Q38" i="2"/>
  <c r="Z38" i="2"/>
  <c r="O38" i="2"/>
  <c r="X38" i="2"/>
  <c r="H39" i="2"/>
  <c r="G39" i="2"/>
  <c r="E39" i="2"/>
  <c r="F39" i="2"/>
  <c r="D39" i="2"/>
  <c r="P39" i="2" l="1"/>
  <c r="Y39" i="2"/>
  <c r="M39" i="2"/>
  <c r="V39" i="2"/>
  <c r="Q39" i="2"/>
  <c r="Z39" i="2"/>
  <c r="N39" i="2"/>
  <c r="W39" i="2"/>
  <c r="O39" i="2"/>
  <c r="X39" i="2"/>
  <c r="G40" i="2"/>
  <c r="H40" i="2"/>
  <c r="E40" i="2"/>
  <c r="F40" i="2"/>
  <c r="D40" i="2"/>
  <c r="P40" i="2" l="1"/>
  <c r="Y40" i="2"/>
  <c r="N40" i="2"/>
  <c r="W40" i="2"/>
  <c r="Q40" i="2"/>
  <c r="Z40" i="2"/>
  <c r="M40" i="2"/>
  <c r="V40" i="2"/>
  <c r="O40" i="2"/>
  <c r="X40" i="2"/>
  <c r="E41" i="2"/>
  <c r="G41" i="2"/>
  <c r="F41" i="2"/>
  <c r="H41" i="2"/>
  <c r="D41" i="2"/>
  <c r="O41" i="2" l="1"/>
  <c r="X41" i="2"/>
  <c r="P41" i="2"/>
  <c r="Y41" i="2"/>
  <c r="M41" i="2"/>
  <c r="V41" i="2"/>
  <c r="N41" i="2"/>
  <c r="W41" i="2"/>
  <c r="Q41" i="2"/>
  <c r="Z41" i="2"/>
  <c r="E42" i="2"/>
  <c r="G42" i="2"/>
  <c r="F42" i="2"/>
  <c r="H42" i="2"/>
  <c r="D42" i="2"/>
  <c r="M42" i="2" l="1"/>
  <c r="V42" i="2"/>
  <c r="O42" i="2"/>
  <c r="X42" i="2"/>
  <c r="P42" i="2"/>
  <c r="Y42" i="2"/>
  <c r="N42" i="2"/>
  <c r="W42" i="2"/>
  <c r="Q42" i="2"/>
  <c r="Z42" i="2"/>
  <c r="E43" i="2"/>
  <c r="H43" i="2"/>
  <c r="G43" i="2"/>
  <c r="F43" i="2"/>
  <c r="D43" i="2"/>
  <c r="P43" i="2" l="1"/>
  <c r="Y43" i="2"/>
  <c r="Q43" i="2"/>
  <c r="Z43" i="2"/>
  <c r="M43" i="2"/>
  <c r="V43" i="2"/>
  <c r="N43" i="2"/>
  <c r="W43" i="2"/>
  <c r="O43" i="2"/>
  <c r="X43" i="2"/>
  <c r="G44" i="2"/>
  <c r="E44" i="2"/>
  <c r="H44" i="2"/>
  <c r="F44" i="2"/>
  <c r="D44" i="2"/>
  <c r="M44" i="2" l="1"/>
  <c r="V44" i="2"/>
  <c r="P44" i="2"/>
  <c r="Y44" i="2"/>
  <c r="Q44" i="2"/>
  <c r="Z44" i="2"/>
  <c r="N44" i="2"/>
  <c r="W44" i="2"/>
  <c r="O44" i="2"/>
  <c r="X44" i="2"/>
  <c r="G45" i="2"/>
  <c r="F45" i="2"/>
  <c r="E45" i="2"/>
  <c r="H45" i="2"/>
  <c r="D45" i="2"/>
  <c r="N45" i="2" l="1"/>
  <c r="W45" i="2"/>
  <c r="O45" i="2"/>
  <c r="X45" i="2"/>
  <c r="M45" i="2"/>
  <c r="V45" i="2"/>
  <c r="P45" i="2"/>
  <c r="Y45" i="2"/>
  <c r="Q45" i="2"/>
  <c r="Z45" i="2"/>
  <c r="G46" i="2"/>
  <c r="E46" i="2"/>
  <c r="F46" i="2"/>
  <c r="H46" i="2"/>
  <c r="D46" i="2"/>
  <c r="P46" i="2" l="1"/>
  <c r="Y46" i="2"/>
  <c r="Q46" i="2"/>
  <c r="Z46" i="2"/>
  <c r="O46" i="2"/>
  <c r="X46" i="2"/>
  <c r="N46" i="2"/>
  <c r="W46" i="2"/>
  <c r="M46" i="2"/>
  <c r="V46" i="2"/>
  <c r="F47" i="2"/>
  <c r="E47" i="2"/>
  <c r="G47" i="2"/>
  <c r="H47" i="2"/>
  <c r="D47" i="2"/>
  <c r="N47" i="2" l="1"/>
  <c r="W47" i="2"/>
  <c r="M47" i="2"/>
  <c r="V47" i="2"/>
  <c r="O47" i="2"/>
  <c r="X47" i="2"/>
  <c r="P47" i="2"/>
  <c r="Y47" i="2"/>
  <c r="Q47" i="2"/>
  <c r="Z47" i="2"/>
  <c r="F48" i="2"/>
  <c r="E48" i="2"/>
  <c r="H48" i="2"/>
  <c r="G48" i="2"/>
  <c r="D48" i="2"/>
  <c r="M48" i="2" l="1"/>
  <c r="V48" i="2"/>
  <c r="O48" i="2"/>
  <c r="X48" i="2"/>
  <c r="Q48" i="2"/>
  <c r="Z48" i="2"/>
  <c r="N48" i="2"/>
  <c r="W48" i="2"/>
  <c r="P48" i="2"/>
  <c r="Y48" i="2"/>
  <c r="G49" i="2"/>
  <c r="E49" i="2"/>
  <c r="H49" i="2"/>
  <c r="F49" i="2"/>
  <c r="D49" i="2"/>
  <c r="N49" i="2" l="1"/>
  <c r="W49" i="2"/>
  <c r="M49" i="2"/>
  <c r="V49" i="2"/>
  <c r="P49" i="2"/>
  <c r="Y49" i="2"/>
  <c r="Q49" i="2"/>
  <c r="Z49" i="2"/>
  <c r="O49" i="2"/>
  <c r="X49" i="2"/>
  <c r="H50" i="2"/>
  <c r="E50" i="2"/>
  <c r="G50" i="2"/>
  <c r="F50" i="2"/>
  <c r="D50" i="2"/>
  <c r="M50" i="2" l="1"/>
  <c r="V50" i="2"/>
  <c r="P50" i="2"/>
  <c r="Y50" i="2"/>
  <c r="N50" i="2"/>
  <c r="W50" i="2"/>
  <c r="Q50" i="2"/>
  <c r="Z50" i="2"/>
  <c r="O50" i="2"/>
  <c r="X50" i="2"/>
  <c r="G51" i="2"/>
  <c r="F51" i="2"/>
  <c r="E51" i="2"/>
  <c r="H51" i="2"/>
  <c r="D51" i="2"/>
  <c r="O51" i="2" l="1"/>
  <c r="X51" i="2"/>
  <c r="M51" i="2"/>
  <c r="V51" i="2"/>
  <c r="P51" i="2"/>
  <c r="Y51" i="2"/>
  <c r="N51" i="2"/>
  <c r="W51" i="2"/>
  <c r="Q51" i="2"/>
  <c r="Z51" i="2"/>
  <c r="E52" i="2"/>
  <c r="F52" i="2"/>
  <c r="H52" i="2"/>
  <c r="G52" i="2"/>
  <c r="D52" i="2"/>
  <c r="M52" i="2" l="1"/>
  <c r="V52" i="2"/>
  <c r="N52" i="2"/>
  <c r="W52" i="2"/>
  <c r="Q52" i="2"/>
  <c r="Z52" i="2"/>
  <c r="O52" i="2"/>
  <c r="X52" i="2"/>
  <c r="P52" i="2"/>
  <c r="Y52" i="2"/>
  <c r="G53" i="2"/>
  <c r="H53" i="2"/>
  <c r="E53" i="2"/>
  <c r="F53" i="2"/>
  <c r="D53" i="2"/>
  <c r="F56" i="2" l="1"/>
  <c r="F13" i="2"/>
  <c r="G56" i="2"/>
  <c r="E56" i="2"/>
  <c r="E13" i="2"/>
  <c r="H56" i="2"/>
  <c r="Q53" i="2"/>
  <c r="Z53" i="2"/>
  <c r="M53" i="2"/>
  <c r="V53" i="2"/>
  <c r="P53" i="2"/>
  <c r="Y53" i="2"/>
  <c r="N53" i="2"/>
  <c r="W53" i="2"/>
  <c r="O53" i="2"/>
  <c r="X53" i="2"/>
  <c r="D54" i="2"/>
  <c r="D57" i="2" s="1"/>
  <c r="D58" i="2" s="1"/>
  <c r="H14" i="7" l="1"/>
  <c r="H64" i="9"/>
  <c r="X13" i="2"/>
  <c r="O13" i="2"/>
  <c r="G14" i="2"/>
  <c r="G35" i="9"/>
  <c r="E55" i="2"/>
  <c r="I14" i="7"/>
  <c r="I64" i="9"/>
  <c r="J14" i="7"/>
  <c r="J64" i="9"/>
  <c r="K64" i="9"/>
  <c r="N13" i="2"/>
  <c r="W13" i="2"/>
  <c r="F14" i="2"/>
  <c r="M54" i="2"/>
  <c r="V54" i="2"/>
  <c r="E54" i="2"/>
  <c r="E57" i="2" s="1"/>
  <c r="J12" i="7" l="1"/>
  <c r="J66" i="9"/>
  <c r="H12" i="7"/>
  <c r="H66" i="9"/>
  <c r="K12" i="7"/>
  <c r="K66" i="9"/>
  <c r="I12" i="7"/>
  <c r="I66" i="9"/>
  <c r="K14" i="7"/>
  <c r="M14" i="7" s="1"/>
  <c r="E58" i="2"/>
  <c r="G15" i="2"/>
  <c r="O14" i="2"/>
  <c r="X14" i="2"/>
  <c r="H15" i="2"/>
  <c r="Y14" i="2"/>
  <c r="P14" i="2"/>
  <c r="V57" i="2"/>
  <c r="V56" i="2"/>
  <c r="M57" i="2"/>
  <c r="M56" i="2"/>
  <c r="G7" i="7"/>
  <c r="G45" i="10"/>
  <c r="N54" i="2"/>
  <c r="W54" i="2"/>
  <c r="F54" i="2"/>
  <c r="M12" i="7" l="1"/>
  <c r="F55" i="2"/>
  <c r="H35" i="9"/>
  <c r="G54" i="2"/>
  <c r="G57" i="2" s="1"/>
  <c r="F57" i="2"/>
  <c r="P15" i="2"/>
  <c r="Y15" i="2"/>
  <c r="H16" i="2"/>
  <c r="Q15" i="2"/>
  <c r="Z15" i="2"/>
  <c r="N57" i="2"/>
  <c r="N56" i="2"/>
  <c r="M58" i="2"/>
  <c r="W57" i="2"/>
  <c r="W56" i="2"/>
  <c r="V58" i="2"/>
  <c r="O54" i="2"/>
  <c r="X54" i="2"/>
  <c r="P54" i="2" l="1"/>
  <c r="H54" i="2"/>
  <c r="H57" i="2" s="1"/>
  <c r="Y54" i="2"/>
  <c r="Y57" i="2" s="1"/>
  <c r="F58" i="2"/>
  <c r="Q16" i="2"/>
  <c r="Z16" i="2"/>
  <c r="N55" i="2"/>
  <c r="N58" i="2" s="1"/>
  <c r="AO13" i="2"/>
  <c r="W55" i="2"/>
  <c r="W58" i="2" s="1"/>
  <c r="AO14" i="2"/>
  <c r="X57" i="2"/>
  <c r="X56" i="2"/>
  <c r="O57" i="2"/>
  <c r="O56" i="2"/>
  <c r="P57" i="2"/>
  <c r="G36" i="9"/>
  <c r="G58" i="9" s="1"/>
  <c r="H80" i="9" s="1"/>
  <c r="Z54" i="2"/>
  <c r="Q54" i="2" l="1"/>
  <c r="Z57" i="2"/>
  <c r="G55" i="2"/>
  <c r="G58" i="2" s="1"/>
  <c r="I35" i="9"/>
  <c r="G42" i="10"/>
  <c r="O55" i="2"/>
  <c r="O58" i="2" s="1"/>
  <c r="AP13" i="2"/>
  <c r="X55" i="2"/>
  <c r="X58" i="2" s="1"/>
  <c r="AP14" i="2"/>
  <c r="G37" i="9"/>
  <c r="Q57" i="2"/>
  <c r="H36" i="9"/>
  <c r="H58" i="9" s="1"/>
  <c r="I80" i="9" s="1"/>
  <c r="G6" i="10"/>
  <c r="H55" i="2" l="1"/>
  <c r="H58" i="2" s="1"/>
  <c r="J35" i="9"/>
  <c r="H42" i="10"/>
  <c r="P55" i="2"/>
  <c r="AQ13" i="2"/>
  <c r="Y55" i="2"/>
  <c r="AQ14" i="2"/>
  <c r="H37" i="9"/>
  <c r="H7" i="7"/>
  <c r="K35" i="9" l="1"/>
  <c r="I36" i="9"/>
  <c r="I58" i="9" s="1"/>
  <c r="AQ15" i="2"/>
  <c r="I38" i="9" s="1"/>
  <c r="AP15" i="2"/>
  <c r="H38" i="9" s="1"/>
  <c r="H6" i="10"/>
  <c r="I6" i="10"/>
  <c r="H45" i="10"/>
  <c r="H61" i="10"/>
  <c r="J80" i="9" l="1"/>
  <c r="K80" i="9"/>
  <c r="I42" i="10"/>
  <c r="I37" i="9"/>
  <c r="AN15" i="2"/>
  <c r="F38" i="9" s="1"/>
  <c r="AO15" i="2"/>
  <c r="H42" i="7"/>
  <c r="G7" i="10"/>
  <c r="G8" i="10" s="1"/>
  <c r="F45" i="9" l="1"/>
  <c r="G79" i="9" s="1"/>
  <c r="G38" i="9"/>
  <c r="I7" i="7"/>
  <c r="G42" i="9" l="1"/>
  <c r="F48" i="9"/>
  <c r="F47" i="9"/>
  <c r="I61" i="10"/>
  <c r="H8" i="7"/>
  <c r="G45" i="9"/>
  <c r="H79" i="9" s="1"/>
  <c r="H45" i="9"/>
  <c r="I79" i="9" s="1"/>
  <c r="I42" i="7"/>
  <c r="K62" i="10"/>
  <c r="I45" i="10"/>
  <c r="J6" i="10"/>
  <c r="H7" i="10"/>
  <c r="H8" i="10" s="1"/>
  <c r="G9" i="7" l="1"/>
  <c r="G59" i="10"/>
  <c r="H59" i="10"/>
  <c r="G48" i="9"/>
  <c r="G47" i="9"/>
  <c r="H13" i="7"/>
  <c r="H47" i="9"/>
  <c r="H48" i="9"/>
  <c r="H35" i="10"/>
  <c r="G43" i="9"/>
  <c r="G35" i="10"/>
  <c r="G13" i="7"/>
  <c r="G44" i="9"/>
  <c r="G10" i="10"/>
  <c r="G11" i="10" s="1"/>
  <c r="G39" i="10" s="1"/>
  <c r="H9" i="10"/>
  <c r="I45" i="9"/>
  <c r="K6" i="10"/>
  <c r="I8" i="7"/>
  <c r="I59" i="10"/>
  <c r="K79" i="9" l="1"/>
  <c r="J79" i="9"/>
  <c r="I13" i="7"/>
  <c r="I48" i="9"/>
  <c r="I47" i="9"/>
  <c r="H9" i="7"/>
  <c r="I35" i="10"/>
  <c r="G26" i="10"/>
  <c r="G25" i="10"/>
  <c r="G37" i="10" s="1"/>
  <c r="G18" i="10"/>
  <c r="G17" i="10"/>
  <c r="H10" i="10"/>
  <c r="H11" i="10" s="1"/>
  <c r="H39" i="10" s="1"/>
  <c r="G29" i="7"/>
  <c r="G25" i="7"/>
  <c r="H42" i="9"/>
  <c r="I9" i="10"/>
  <c r="J61" i="10"/>
  <c r="H52" i="10"/>
  <c r="H56" i="10" s="1"/>
  <c r="I7" i="10"/>
  <c r="I8" i="10" s="1"/>
  <c r="J59" i="10" l="1"/>
  <c r="H43" i="7"/>
  <c r="J7" i="7"/>
  <c r="J42" i="7" s="1"/>
  <c r="I9" i="7"/>
  <c r="J45" i="10"/>
  <c r="H54" i="10"/>
  <c r="H25" i="10"/>
  <c r="H37" i="10" s="1"/>
  <c r="H26" i="10"/>
  <c r="H18" i="10"/>
  <c r="H17" i="10"/>
  <c r="G38" i="10"/>
  <c r="H43" i="9"/>
  <c r="H44" i="9"/>
  <c r="I10" i="10"/>
  <c r="I11" i="10" s="1"/>
  <c r="I39" i="10" s="1"/>
  <c r="H29" i="7"/>
  <c r="H25" i="7"/>
  <c r="J9" i="10"/>
  <c r="I42" i="9"/>
  <c r="I52" i="10"/>
  <c r="I56" i="10" s="1"/>
  <c r="G40" i="10" l="1"/>
  <c r="G43" i="10" s="1"/>
  <c r="G60" i="9"/>
  <c r="H82" i="9" s="1"/>
  <c r="H55" i="10" s="1"/>
  <c r="H57" i="10" s="1"/>
  <c r="H60" i="10" s="1"/>
  <c r="H63" i="10" s="1"/>
  <c r="H6" i="7" s="1"/>
  <c r="H11" i="7" s="1"/>
  <c r="H15" i="7" s="1"/>
  <c r="H16" i="7" s="1"/>
  <c r="H17" i="7" s="1"/>
  <c r="I43" i="7"/>
  <c r="I54" i="10"/>
  <c r="I18" i="10"/>
  <c r="I17" i="10"/>
  <c r="I25" i="10"/>
  <c r="I37" i="10" s="1"/>
  <c r="I26" i="10"/>
  <c r="H38" i="10"/>
  <c r="I44" i="9"/>
  <c r="I43" i="9"/>
  <c r="K9" i="10"/>
  <c r="H46" i="7"/>
  <c r="I29" i="7"/>
  <c r="I25" i="7"/>
  <c r="J42" i="9"/>
  <c r="H40" i="10" l="1"/>
  <c r="H43" i="10" s="1"/>
  <c r="H60" i="9"/>
  <c r="I82" i="9" s="1"/>
  <c r="I55" i="10" s="1"/>
  <c r="I57" i="10" s="1"/>
  <c r="I60" i="10" s="1"/>
  <c r="I63" i="10" s="1"/>
  <c r="I6" i="7" s="1"/>
  <c r="I11" i="7" s="1"/>
  <c r="I15" i="7" s="1"/>
  <c r="K45" i="10"/>
  <c r="K7" i="7"/>
  <c r="M7" i="7" s="1"/>
  <c r="I38" i="10"/>
  <c r="I46" i="7"/>
  <c r="J52" i="10"/>
  <c r="J56" i="10" s="1"/>
  <c r="I40" i="10" l="1"/>
  <c r="I43" i="10" s="1"/>
  <c r="I60" i="9"/>
  <c r="K42" i="7"/>
  <c r="I16" i="7"/>
  <c r="I17" i="7" s="1"/>
  <c r="J54" i="10"/>
  <c r="J82" i="9" l="1"/>
  <c r="J55" i="10" s="1"/>
  <c r="J57" i="10" s="1"/>
  <c r="J60" i="10" s="1"/>
  <c r="J63" i="10" s="1"/>
  <c r="J6" i="7" s="1"/>
  <c r="K82" i="9"/>
  <c r="G13" i="2"/>
  <c r="H13" i="2"/>
  <c r="P13" i="2" l="1"/>
  <c r="Q13" i="2"/>
  <c r="H14" i="2"/>
  <c r="Y13" i="2"/>
  <c r="Y56" i="2" s="1"/>
  <c r="Z13" i="2"/>
  <c r="Y58" i="2" l="1"/>
  <c r="AR14" i="2" s="1"/>
  <c r="P56" i="2"/>
  <c r="K59" i="10"/>
  <c r="Z14" i="2"/>
  <c r="Z56" i="2" s="1"/>
  <c r="Q14" i="2"/>
  <c r="Q56" i="2" s="1"/>
  <c r="P58" i="2" l="1"/>
  <c r="Z55" i="2"/>
  <c r="AR13" i="2" l="1"/>
  <c r="Q55" i="2"/>
  <c r="J36" i="9"/>
  <c r="J58" i="9" s="1"/>
  <c r="Z58" i="2"/>
  <c r="AS14" i="2" s="1"/>
  <c r="J42" i="10" l="1"/>
  <c r="AR15" i="2"/>
  <c r="J9" i="7"/>
  <c r="J37" i="9"/>
  <c r="J7" i="10"/>
  <c r="J8" i="10" s="1"/>
  <c r="Q58" i="2"/>
  <c r="K61" i="10" l="1"/>
  <c r="J8" i="7"/>
  <c r="J11" i="7" s="1"/>
  <c r="J38" i="9"/>
  <c r="AS13" i="2"/>
  <c r="K36" i="9"/>
  <c r="K58" i="9" s="1"/>
  <c r="J43" i="7"/>
  <c r="K42" i="10" l="1"/>
  <c r="K9" i="7"/>
  <c r="AS15" i="2"/>
  <c r="J45" i="9"/>
  <c r="K52" i="10" s="1"/>
  <c r="K56" i="10" s="1"/>
  <c r="J10" i="10"/>
  <c r="J11" i="10" s="1"/>
  <c r="J39" i="10" s="1"/>
  <c r="K37" i="9"/>
  <c r="K7" i="10"/>
  <c r="K8" i="10" s="1"/>
  <c r="J13" i="7" l="1"/>
  <c r="J15" i="7" s="1"/>
  <c r="J16" i="7" s="1"/>
  <c r="J17" i="7" s="1"/>
  <c r="J47" i="9"/>
  <c r="J48" i="9"/>
  <c r="K8" i="7"/>
  <c r="J35" i="10"/>
  <c r="K54" i="10"/>
  <c r="K38" i="9"/>
  <c r="J17" i="10"/>
  <c r="J18" i="10"/>
  <c r="J29" i="7"/>
  <c r="J25" i="7"/>
  <c r="J25" i="10"/>
  <c r="J37" i="10" s="1"/>
  <c r="J38" i="10" s="1"/>
  <c r="J60" i="9" s="1"/>
  <c r="J43" i="9"/>
  <c r="K42" i="9"/>
  <c r="J44" i="9"/>
  <c r="J26" i="10"/>
  <c r="K43" i="7"/>
  <c r="M9" i="7"/>
  <c r="J46" i="7" l="1"/>
  <c r="J40" i="10"/>
  <c r="J43" i="10" s="1"/>
  <c r="K10" i="10"/>
  <c r="K45" i="9"/>
  <c r="K44" i="9" s="1"/>
  <c r="K55" i="10"/>
  <c r="K57" i="10" s="1"/>
  <c r="K60" i="10" s="1"/>
  <c r="K63" i="10" s="1"/>
  <c r="K6" i="7" s="1"/>
  <c r="K11" i="7" s="1"/>
  <c r="K11" i="10" l="1"/>
  <c r="K13" i="7"/>
  <c r="K46" i="7" s="1"/>
  <c r="K48" i="9"/>
  <c r="K47" i="9"/>
  <c r="K35" i="10"/>
  <c r="K43" i="9"/>
  <c r="K25" i="10" l="1"/>
  <c r="K37" i="10" s="1"/>
  <c r="K38" i="10" s="1"/>
  <c r="K60" i="9" s="1"/>
  <c r="K39" i="10"/>
  <c r="K17" i="10"/>
  <c r="K29" i="7"/>
  <c r="M29" i="7" s="1"/>
  <c r="K18" i="10"/>
  <c r="K25" i="7"/>
  <c r="M25" i="7" s="1"/>
  <c r="K26" i="10"/>
  <c r="K15" i="7"/>
  <c r="K16" i="7" s="1"/>
  <c r="K17" i="7" s="1"/>
  <c r="M13" i="7"/>
  <c r="G44" i="10"/>
  <c r="G46" i="10" s="1"/>
  <c r="G8" i="7"/>
  <c r="H44" i="10"/>
  <c r="H46" i="10" s="1"/>
  <c r="K40" i="10" l="1"/>
  <c r="K43" i="10" s="1"/>
  <c r="H19" i="7"/>
  <c r="H20" i="7" s="1"/>
  <c r="H33" i="7"/>
  <c r="H35" i="7"/>
  <c r="H37" i="7"/>
  <c r="H34" i="7"/>
  <c r="H45" i="7"/>
  <c r="H36" i="7"/>
  <c r="I35" i="7" l="1"/>
  <c r="H22" i="7"/>
  <c r="I33" i="7"/>
  <c r="I45" i="7"/>
  <c r="I41" i="7"/>
  <c r="I37" i="7"/>
  <c r="I34" i="7"/>
  <c r="I44" i="10"/>
  <c r="I46" i="10" s="1"/>
  <c r="H21" i="7"/>
  <c r="H24" i="7"/>
  <c r="H26" i="7" s="1"/>
  <c r="H28" i="7"/>
  <c r="H30" i="7" s="1"/>
  <c r="H38" i="7"/>
  <c r="I36" i="7" l="1"/>
  <c r="I19" i="7"/>
  <c r="I20" i="7" s="1"/>
  <c r="I48" i="7" l="1"/>
  <c r="I22" i="7"/>
  <c r="I28" i="7"/>
  <c r="I30" i="7" s="1"/>
  <c r="I24" i="7"/>
  <c r="I26" i="7" s="1"/>
  <c r="I47" i="7"/>
  <c r="I21" i="7"/>
  <c r="I38" i="7"/>
  <c r="J44" i="10" l="1"/>
  <c r="J46" i="10" s="1"/>
  <c r="J19" i="7" l="1"/>
  <c r="J20" i="7" s="1"/>
  <c r="J41" i="7"/>
  <c r="J35" i="7"/>
  <c r="J37" i="7"/>
  <c r="J33" i="7"/>
  <c r="J34" i="7"/>
  <c r="J36" i="7"/>
  <c r="J45" i="7"/>
  <c r="J22" i="7" l="1"/>
  <c r="J21" i="7"/>
  <c r="K44" i="10"/>
  <c r="K46" i="10" s="1"/>
  <c r="J24" i="7"/>
  <c r="J26" i="7" s="1"/>
  <c r="J28" i="7"/>
  <c r="J30" i="7" s="1"/>
  <c r="J48" i="7"/>
  <c r="J38" i="7"/>
  <c r="J47" i="7"/>
  <c r="K35" i="7" l="1"/>
  <c r="K34" i="7"/>
  <c r="K37" i="7"/>
  <c r="K19" i="7"/>
  <c r="K20" i="7" s="1"/>
  <c r="K33" i="7"/>
  <c r="K41" i="7"/>
  <c r="K45" i="7"/>
  <c r="M8" i="7"/>
  <c r="K36" i="7"/>
  <c r="K22" i="7" l="1"/>
  <c r="K24" i="7"/>
  <c r="K48" i="7"/>
  <c r="K28" i="7"/>
  <c r="K47" i="7"/>
  <c r="K38" i="7"/>
  <c r="K30" i="7" l="1"/>
  <c r="K21" i="7"/>
  <c r="K26" i="7"/>
  <c r="G52" i="10" l="1"/>
  <c r="G54" i="10" l="1"/>
  <c r="G56" i="10"/>
  <c r="G57" i="10" s="1"/>
  <c r="G60" i="10" s="1"/>
  <c r="G63" i="10" s="1"/>
  <c r="G6" i="7" l="1"/>
  <c r="G11" i="7" l="1"/>
  <c r="G19" i="7"/>
  <c r="G35" i="7"/>
  <c r="M35" i="7" s="1"/>
  <c r="G33" i="7"/>
  <c r="M33" i="7" s="1"/>
  <c r="H41" i="7"/>
  <c r="M6" i="7"/>
  <c r="G36" i="7"/>
  <c r="M36" i="7" s="1"/>
  <c r="G34" i="7"/>
  <c r="M34" i="7" s="1"/>
  <c r="G37" i="7"/>
  <c r="M37" i="7" s="1"/>
  <c r="G20" i="7" l="1"/>
  <c r="G15" i="7"/>
  <c r="M11" i="7"/>
  <c r="M19" i="7"/>
  <c r="G16" i="7" l="1"/>
  <c r="G17" i="7" s="1"/>
  <c r="M15" i="7"/>
  <c r="M20" i="7"/>
  <c r="G21" i="7" l="1"/>
  <c r="M21" i="7" s="1"/>
  <c r="G28" i="7"/>
  <c r="G30" i="7" s="1"/>
  <c r="M30" i="7" s="1"/>
  <c r="H48" i="7"/>
  <c r="M17" i="7"/>
  <c r="G24" i="7"/>
  <c r="G26" i="7" s="1"/>
  <c r="M26" i="7" s="1"/>
  <c r="G22" i="7"/>
  <c r="M22" i="7" s="1"/>
  <c r="H47" i="7"/>
  <c r="G38" i="7"/>
  <c r="M38" i="7" s="1"/>
  <c r="M16" i="7"/>
  <c r="M24" i="7" l="1"/>
  <c r="M28" i="7"/>
</calcChain>
</file>

<file path=xl/sharedStrings.xml><?xml version="1.0" encoding="utf-8"?>
<sst xmlns="http://schemas.openxmlformats.org/spreadsheetml/2006/main" count="177" uniqueCount="117">
  <si>
    <t>Net Plant in Service</t>
  </si>
  <si>
    <t>Rate Base</t>
  </si>
  <si>
    <t>Gross plant in service</t>
  </si>
  <si>
    <t>Accumulated depreciation</t>
  </si>
  <si>
    <t>Accumulated deferred income tax</t>
  </si>
  <si>
    <t>Useful life (book)</t>
  </si>
  <si>
    <t>Useful life (tax)</t>
  </si>
  <si>
    <t>Tax rate</t>
  </si>
  <si>
    <t>Age/Year</t>
  </si>
  <si>
    <t>PLANT IN SERVICE</t>
  </si>
  <si>
    <t>BOOK DEPRECIATION</t>
  </si>
  <si>
    <t>TAX DEPRECIATION</t>
  </si>
  <si>
    <t>ACCUMULATED DEFERRED INCOME TAX</t>
  </si>
  <si>
    <t>ADIT</t>
  </si>
  <si>
    <t>FORWARD CAPEX</t>
  </si>
  <si>
    <t>RETURN ON EQUITY</t>
  </si>
  <si>
    <t>DEPRECIATION</t>
  </si>
  <si>
    <t>BONUS</t>
  </si>
  <si>
    <t>BOOK</t>
  </si>
  <si>
    <t>TAX</t>
  </si>
  <si>
    <t>FACTOR</t>
  </si>
  <si>
    <t>First Year Fraction</t>
  </si>
  <si>
    <t>Allowances / exclusions (net)</t>
  </si>
  <si>
    <t>Operations &amp; maintenance</t>
  </si>
  <si>
    <t>Taxes other than income taxes</t>
  </si>
  <si>
    <t>Federal income tax</t>
  </si>
  <si>
    <t>Depreciation</t>
  </si>
  <si>
    <t>Amortization</t>
  </si>
  <si>
    <t>Depreciation &amp; amortization</t>
  </si>
  <si>
    <t>Revenue Requirements</t>
  </si>
  <si>
    <t>Inflation</t>
  </si>
  <si>
    <t>Authorized returns to equity holders</t>
  </si>
  <si>
    <t>RETURN ON CAPITAL</t>
  </si>
  <si>
    <t>Authorized returns</t>
  </si>
  <si>
    <t>Effective returns</t>
  </si>
  <si>
    <t>Effective returns to equity holders</t>
  </si>
  <si>
    <t>Authorized Return on Capital</t>
  </si>
  <si>
    <t>Effective Return on Capital</t>
  </si>
  <si>
    <t>Effective Return on Equity</t>
  </si>
  <si>
    <t>Authorized Return on Equity</t>
  </si>
  <si>
    <t>Revenue</t>
  </si>
  <si>
    <t>Return on Equity</t>
  </si>
  <si>
    <t>Equity capitalization</t>
  </si>
  <si>
    <t>NOPAT</t>
  </si>
  <si>
    <t>Authorized return on capital</t>
  </si>
  <si>
    <t>Effective return on capital</t>
  </si>
  <si>
    <t>Authorized return on equity</t>
  </si>
  <si>
    <t>Effective return on equity</t>
  </si>
  <si>
    <t>Implied Cost of Debt</t>
  </si>
  <si>
    <t>Effective Cost of Debt</t>
  </si>
  <si>
    <t>Operations &amp; Maintenance</t>
  </si>
  <si>
    <t>Other Taxes</t>
  </si>
  <si>
    <t>Income Taxes</t>
  </si>
  <si>
    <t>Authorized Equity Capitalization</t>
  </si>
  <si>
    <t>Effective Equity Capitalization</t>
  </si>
  <si>
    <t>Interest expense</t>
  </si>
  <si>
    <t>x</t>
  </si>
  <si>
    <t>Net Income</t>
  </si>
  <si>
    <t>Rate Base Assumptions</t>
  </si>
  <si>
    <t>Actual Operating Cost Assumptions</t>
  </si>
  <si>
    <t>Tax Rate</t>
  </si>
  <si>
    <t>Placed-in-service Convention</t>
  </si>
  <si>
    <t>CAGR</t>
  </si>
  <si>
    <t>Growth Metrics</t>
  </si>
  <si>
    <t>Common Size Metrics</t>
  </si>
  <si>
    <t>ROE</t>
  </si>
  <si>
    <t>Recognized Rate Base  &amp; Operating Cost Assumptions</t>
  </si>
  <si>
    <t>Capital Structure &amp; Return Assumptions</t>
  </si>
  <si>
    <t>EBITDA</t>
  </si>
  <si>
    <t>EBIT</t>
  </si>
  <si>
    <t>Income Statement</t>
  </si>
  <si>
    <t>Global Assumptions</t>
  </si>
  <si>
    <t>LAGGED REVENUE REQUIREMENTS</t>
  </si>
  <si>
    <t>Base Year</t>
  </si>
  <si>
    <t>AFUDC - Equity</t>
  </si>
  <si>
    <t>AFUDC</t>
  </si>
  <si>
    <t>AFUDC - Debt</t>
  </si>
  <si>
    <t>Unlevered Utility Operating Income</t>
  </si>
  <si>
    <t>Utility ROE</t>
  </si>
  <si>
    <t>Utility Invested Equity</t>
  </si>
  <si>
    <t>Utility Invested Capital</t>
  </si>
  <si>
    <t>Utility Operating Income</t>
  </si>
  <si>
    <t>Net Plant</t>
  </si>
  <si>
    <t>Avg construction time (yrs)</t>
  </si>
  <si>
    <t>Gross Plant</t>
  </si>
  <si>
    <t>O&amp;M</t>
  </si>
  <si>
    <t>Federal Income Tax</t>
  </si>
  <si>
    <t>Utility ROC</t>
  </si>
  <si>
    <t>Additions</t>
  </si>
  <si>
    <t>Retirements</t>
  </si>
  <si>
    <t>EOP Balance</t>
  </si>
  <si>
    <t>BOP Balance</t>
  </si>
  <si>
    <t>Subtractions</t>
  </si>
  <si>
    <t>Depreciation Expense</t>
  </si>
  <si>
    <t>Accum. Depreciation</t>
  </si>
  <si>
    <t>Net Allowances / Deductions</t>
  </si>
  <si>
    <t>Accumulated Depreciation - Book</t>
  </si>
  <si>
    <t>Accumulated Depreciation - Tax</t>
  </si>
  <si>
    <t>Authorized Rate Base</t>
  </si>
  <si>
    <t>Theoretical Rate Base</t>
  </si>
  <si>
    <t>THEORETICAL REVENUE REQUIREMENTS</t>
  </si>
  <si>
    <t>Theoretical Revenue Requirements</t>
  </si>
  <si>
    <t>Lagged Revenue Requirements</t>
  </si>
  <si>
    <t>Operating Income</t>
  </si>
  <si>
    <t>Income before income taxes</t>
  </si>
  <si>
    <t>Equity</t>
  </si>
  <si>
    <t>Debt</t>
  </si>
  <si>
    <t>Planned capex inclusive of AFUDC</t>
  </si>
  <si>
    <t>BOP Rate Base</t>
  </si>
  <si>
    <t>EOP Rate Base</t>
  </si>
  <si>
    <t>Interim Filing Lag (yrs)</t>
  </si>
  <si>
    <t>Rate Case (implemented beginning of year)</t>
  </si>
  <si>
    <t>Lookback</t>
  </si>
  <si>
    <t>Tracked by Rate Case Only</t>
  </si>
  <si>
    <t>Tracked by Interim Filings and Rate Case</t>
  </si>
  <si>
    <t>Book Life</t>
  </si>
  <si>
    <t>Tax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</si>
</sst>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,##0.000_);\(#,##0.000\)"/>
    <numFmt numFmtId="165" formatCode="#,##0.0_);\(#,##0.0\)"/>
    <numFmt numFmtId="166" formatCode="0.0%"/>
    <numFmt numFmtId="167" formatCode="0_);\(0\)"/>
    <numFmt numFmtId="170" formatCode="0.0"/>
    <numFmt numFmtId="173" formatCode="#,##0_);\(#,##0\);\-_);\-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rgb="FF002060"/>
      </left>
      <right style="dotted">
        <color rgb="FF002060"/>
      </right>
      <top style="dotted">
        <color rgb="FF002060"/>
      </top>
      <bottom style="dotted">
        <color rgb="FF002060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rgb="FF002060"/>
      </left>
      <right/>
      <top style="dotted">
        <color rgb="FF002060"/>
      </top>
      <bottom style="dotted">
        <color rgb="FF002060"/>
      </bottom>
      <diagonal/>
    </border>
    <border>
      <left/>
      <right/>
      <top style="dotted">
        <color rgb="FF002060"/>
      </top>
      <bottom style="dotted">
        <color rgb="FF00206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/>
    <xf numFmtId="37" fontId="0" fillId="0" borderId="0" xfId="0" applyNumberFormat="1"/>
    <xf numFmtId="37" fontId="1" fillId="0" borderId="1" xfId="0" applyNumberFormat="1" applyFont="1" applyBorder="1"/>
    <xf numFmtId="37" fontId="1" fillId="0" borderId="0" xfId="0" applyNumberFormat="1" applyFont="1" applyAlignment="1">
      <alignment horizontal="right"/>
    </xf>
    <xf numFmtId="0" fontId="0" fillId="0" borderId="0" xfId="0" applyFont="1"/>
    <xf numFmtId="37" fontId="0" fillId="0" borderId="3" xfId="0" applyNumberFormat="1" applyFont="1" applyBorder="1"/>
    <xf numFmtId="9" fontId="3" fillId="2" borderId="2" xfId="1" applyFont="1" applyFill="1" applyBorder="1"/>
    <xf numFmtId="37" fontId="3" fillId="2" borderId="2" xfId="0" applyNumberFormat="1" applyFont="1" applyFill="1" applyBorder="1"/>
    <xf numFmtId="37" fontId="4" fillId="0" borderId="0" xfId="0" applyNumberFormat="1" applyFont="1"/>
    <xf numFmtId="37" fontId="0" fillId="0" borderId="0" xfId="1" applyNumberFormat="1" applyFont="1" applyBorder="1"/>
    <xf numFmtId="164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right"/>
    </xf>
    <xf numFmtId="37" fontId="5" fillId="0" borderId="0" xfId="0" applyNumberFormat="1" applyFont="1"/>
    <xf numFmtId="166" fontId="5" fillId="0" borderId="0" xfId="1" applyNumberFormat="1" applyFont="1" applyFill="1" applyBorder="1"/>
    <xf numFmtId="37" fontId="0" fillId="0" borderId="1" xfId="0" applyNumberFormat="1" applyFont="1" applyBorder="1"/>
    <xf numFmtId="10" fontId="5" fillId="0" borderId="0" xfId="1" applyNumberFormat="1" applyFont="1" applyFill="1" applyBorder="1"/>
    <xf numFmtId="166" fontId="0" fillId="0" borderId="0" xfId="1" applyNumberFormat="1" applyFont="1"/>
    <xf numFmtId="0" fontId="6" fillId="0" borderId="0" xfId="0" applyFont="1"/>
    <xf numFmtId="166" fontId="6" fillId="0" borderId="0" xfId="1" applyNumberFormat="1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167" fontId="4" fillId="0" borderId="0" xfId="0" applyNumberFormat="1" applyFont="1"/>
    <xf numFmtId="0" fontId="7" fillId="0" borderId="0" xfId="0" applyFont="1"/>
    <xf numFmtId="0" fontId="8" fillId="0" borderId="0" xfId="0" applyFont="1" applyAlignment="1">
      <alignment horizontal="center"/>
    </xf>
    <xf numFmtId="0" fontId="7" fillId="0" borderId="0" xfId="0" applyFont="1" applyAlignment="1">
      <alignment horizontal="left" indent="1"/>
    </xf>
    <xf numFmtId="166" fontId="3" fillId="0" borderId="0" xfId="1" applyNumberFormat="1" applyFont="1" applyFill="1" applyBorder="1"/>
    <xf numFmtId="10" fontId="3" fillId="0" borderId="0" xfId="1" applyNumberFormat="1" applyFont="1" applyFill="1" applyBorder="1"/>
    <xf numFmtId="37" fontId="1" fillId="0" borderId="0" xfId="1" applyNumberFormat="1" applyFont="1" applyBorder="1"/>
    <xf numFmtId="37" fontId="1" fillId="0" borderId="0" xfId="0" applyNumberFormat="1" applyFont="1" applyBorder="1"/>
    <xf numFmtId="165" fontId="5" fillId="0" borderId="0" xfId="0" applyNumberFormat="1" applyFont="1"/>
    <xf numFmtId="9" fontId="6" fillId="0" borderId="0" xfId="1" applyFont="1"/>
    <xf numFmtId="166" fontId="9" fillId="0" borderId="1" xfId="1" applyNumberFormat="1" applyFont="1" applyBorder="1"/>
    <xf numFmtId="0" fontId="9" fillId="0" borderId="0" xfId="0" applyFont="1"/>
    <xf numFmtId="37" fontId="6" fillId="0" borderId="0" xfId="0" applyNumberFormat="1" applyFont="1"/>
    <xf numFmtId="0" fontId="10" fillId="0" borderId="5" xfId="0" applyFont="1" applyFill="1" applyBorder="1"/>
    <xf numFmtId="0" fontId="11" fillId="0" borderId="5" xfId="0" applyFont="1" applyFill="1" applyBorder="1"/>
    <xf numFmtId="0" fontId="0" fillId="0" borderId="6" xfId="0" applyFill="1" applyBorder="1"/>
    <xf numFmtId="166" fontId="3" fillId="0" borderId="6" xfId="1" applyNumberFormat="1" applyFont="1" applyFill="1" applyBorder="1"/>
    <xf numFmtId="166" fontId="5" fillId="0" borderId="6" xfId="1" applyNumberFormat="1" applyFont="1" applyFill="1" applyBorder="1"/>
    <xf numFmtId="0" fontId="12" fillId="0" borderId="6" xfId="0" applyFont="1" applyFill="1" applyBorder="1"/>
    <xf numFmtId="0" fontId="1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0" fontId="1" fillId="0" borderId="0" xfId="0" applyFont="1" applyBorder="1"/>
    <xf numFmtId="37" fontId="13" fillId="0" borderId="0" xfId="0" applyNumberFormat="1" applyFont="1" applyBorder="1"/>
    <xf numFmtId="173" fontId="0" fillId="0" borderId="0" xfId="0" applyNumberFormat="1"/>
    <xf numFmtId="173" fontId="13" fillId="0" borderId="0" xfId="0" applyNumberFormat="1" applyFont="1"/>
    <xf numFmtId="173" fontId="3" fillId="2" borderId="4" xfId="0" applyNumberFormat="1" applyFont="1" applyFill="1" applyBorder="1" applyAlignment="1">
      <alignment horizontal="right"/>
    </xf>
    <xf numFmtId="37" fontId="1" fillId="0" borderId="0" xfId="0" applyNumberFormat="1" applyFont="1"/>
    <xf numFmtId="9" fontId="0" fillId="0" borderId="0" xfId="0" applyNumberFormat="1"/>
    <xf numFmtId="37" fontId="14" fillId="0" borderId="3" xfId="0" applyNumberFormat="1" applyFont="1" applyBorder="1"/>
    <xf numFmtId="37" fontId="14" fillId="0" borderId="0" xfId="0" applyNumberFormat="1" applyFont="1"/>
    <xf numFmtId="0" fontId="14" fillId="0" borderId="0" xfId="0" applyFont="1"/>
    <xf numFmtId="164" fontId="14" fillId="0" borderId="0" xfId="0" applyNumberFormat="1" applyFont="1"/>
    <xf numFmtId="2" fontId="14" fillId="0" borderId="0" xfId="0" applyNumberFormat="1" applyFont="1"/>
    <xf numFmtId="37" fontId="1" fillId="0" borderId="0" xfId="0" applyNumberFormat="1" applyFont="1" applyFill="1" applyBorder="1" applyAlignment="1">
      <alignment horizontal="right"/>
    </xf>
    <xf numFmtId="37" fontId="0" fillId="0" borderId="1" xfId="0" applyNumberFormat="1" applyBorder="1"/>
    <xf numFmtId="37" fontId="0" fillId="0" borderId="0" xfId="0" applyNumberFormat="1" applyFont="1"/>
    <xf numFmtId="37" fontId="0" fillId="0" borderId="0" xfId="0" applyNumberFormat="1" applyFont="1" applyBorder="1"/>
    <xf numFmtId="0" fontId="0" fillId="0" borderId="0" xfId="0" quotePrefix="1" applyAlignment="1">
      <alignment horizontal="left" indent="2"/>
    </xf>
    <xf numFmtId="0" fontId="0" fillId="0" borderId="0" xfId="0" applyFont="1" applyBorder="1"/>
    <xf numFmtId="37" fontId="5" fillId="0" borderId="0" xfId="0" applyNumberFormat="1" applyFont="1" applyBorder="1"/>
    <xf numFmtId="166" fontId="9" fillId="0" borderId="0" xfId="1" applyNumberFormat="1" applyFont="1"/>
    <xf numFmtId="0" fontId="4" fillId="0" borderId="0" xfId="0" applyFont="1" applyAlignment="1">
      <alignment horizontal="right"/>
    </xf>
    <xf numFmtId="0" fontId="0" fillId="0" borderId="7" xfId="0" applyBorder="1"/>
    <xf numFmtId="0" fontId="0" fillId="0" borderId="1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3" fillId="2" borderId="2" xfId="0" applyFont="1" applyFill="1" applyBorder="1"/>
    <xf numFmtId="166" fontId="3" fillId="2" borderId="2" xfId="1" applyNumberFormat="1" applyFont="1" applyFill="1" applyBorder="1"/>
    <xf numFmtId="170" fontId="3" fillId="2" borderId="2" xfId="0" applyNumberFormat="1" applyFont="1" applyFill="1" applyBorder="1"/>
    <xf numFmtId="170" fontId="5" fillId="2" borderId="2" xfId="0" applyNumberFormat="1" applyFont="1" applyFill="1" applyBorder="1"/>
    <xf numFmtId="173" fontId="5" fillId="0" borderId="0" xfId="0" applyNumberFormat="1" applyFont="1" applyFill="1" applyBorder="1" applyAlignment="1">
      <alignment horizontal="right"/>
    </xf>
    <xf numFmtId="170" fontId="5" fillId="0" borderId="0" xfId="0" applyNumberFormat="1" applyFont="1" applyFill="1" applyBorder="1"/>
    <xf numFmtId="1" fontId="3" fillId="2" borderId="2" xfId="1" applyNumberFormat="1" applyFont="1" applyFill="1" applyBorder="1"/>
    <xf numFmtId="3" fontId="5" fillId="0" borderId="0" xfId="0" applyNumberFormat="1" applyFont="1" applyFill="1" applyBorder="1"/>
    <xf numFmtId="173" fontId="5" fillId="2" borderId="4" xfId="0" applyNumberFormat="1" applyFont="1" applyFill="1" applyBorder="1" applyAlignment="1">
      <alignment horizontal="right"/>
    </xf>
    <xf numFmtId="0" fontId="0" fillId="0" borderId="13" xfId="0" applyFont="1" applyBorder="1"/>
    <xf numFmtId="0" fontId="0" fillId="0" borderId="14" xfId="0" applyBorder="1"/>
    <xf numFmtId="37" fontId="13" fillId="0" borderId="8" xfId="0" applyNumberFormat="1" applyFont="1" applyFill="1" applyBorder="1"/>
    <xf numFmtId="37" fontId="13" fillId="0" borderId="3" xfId="0" applyNumberFormat="1" applyFont="1" applyFill="1" applyBorder="1"/>
    <xf numFmtId="165" fontId="13" fillId="0" borderId="3" xfId="0" applyNumberFormat="1" applyFont="1" applyFill="1" applyBorder="1"/>
    <xf numFmtId="166" fontId="13" fillId="0" borderId="12" xfId="1" applyNumberFormat="1" applyFont="1" applyFill="1" applyBorder="1"/>
    <xf numFmtId="37" fontId="13" fillId="0" borderId="2" xfId="0" applyNumberFormat="1" applyFont="1" applyFill="1" applyBorder="1"/>
    <xf numFmtId="170" fontId="13" fillId="2" borderId="2" xfId="0" applyNumberFormat="1" applyFont="1" applyFill="1" applyBorder="1"/>
    <xf numFmtId="166" fontId="0" fillId="0" borderId="0" xfId="1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2060"/>
  </sheetPr>
  <dimension ref="B2:R49"/>
  <sheetViews>
    <sheetView showGridLines="0" tabSelected="1" workbookViewId="0">
      <selection activeCell="F6" sqref="F6"/>
    </sheetView>
  </sheetViews>
  <sheetFormatPr defaultRowHeight="15" x14ac:dyDescent="0.25"/>
  <cols>
    <col min="12" max="12" width="4.7109375" customWidth="1"/>
  </cols>
  <sheetData>
    <row r="2" spans="2:18" ht="16.5" thickBot="1" x14ac:dyDescent="0.3">
      <c r="B2" s="36" t="s">
        <v>70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</row>
    <row r="3" spans="2:18" ht="15.75" thickTop="1" x14ac:dyDescent="0.25"/>
    <row r="4" spans="2:18" x14ac:dyDescent="0.25">
      <c r="B4" s="1"/>
      <c r="G4" s="23">
        <f>Assumptions!$F$4+1</f>
        <v>2017</v>
      </c>
      <c r="H4" s="23">
        <f t="shared" ref="H4:K4" si="0">G4+1</f>
        <v>2018</v>
      </c>
      <c r="I4" s="23">
        <f t="shared" si="0"/>
        <v>2019</v>
      </c>
      <c r="J4" s="23">
        <f t="shared" si="0"/>
        <v>2020</v>
      </c>
      <c r="K4" s="23">
        <f t="shared" si="0"/>
        <v>2021</v>
      </c>
      <c r="M4" s="65" t="s">
        <v>62</v>
      </c>
    </row>
    <row r="5" spans="2:18" ht="5.0999999999999996" customHeight="1" x14ac:dyDescent="0.25">
      <c r="B5" s="1"/>
      <c r="G5" s="23"/>
      <c r="H5" s="23"/>
      <c r="I5" s="23"/>
      <c r="J5" s="23"/>
      <c r="K5" s="23"/>
      <c r="M5" s="13"/>
    </row>
    <row r="6" spans="2:18" x14ac:dyDescent="0.25">
      <c r="B6" s="1" t="s">
        <v>40</v>
      </c>
      <c r="C6" s="1"/>
      <c r="D6" s="1"/>
      <c r="E6" s="1"/>
      <c r="F6" s="1"/>
      <c r="G6" s="50">
        <f ca="1">'Rate Base &amp; Revenue Req'!G63</f>
        <v>183.45202606802883</v>
      </c>
      <c r="H6" s="50">
        <f ca="1">'Rate Base &amp; Revenue Req'!H63</f>
        <v>193.08567605424764</v>
      </c>
      <c r="I6" s="50">
        <f ca="1">'Rate Base &amp; Revenue Req'!I63</f>
        <v>199.31902443762652</v>
      </c>
      <c r="J6" s="50">
        <f ca="1">'Rate Base &amp; Revenue Req'!J63</f>
        <v>203.07903878110528</v>
      </c>
      <c r="K6" s="50">
        <f ca="1">'Rate Base &amp; Revenue Req'!K63</f>
        <v>206.07903878110528</v>
      </c>
      <c r="L6" s="1"/>
      <c r="M6" s="64">
        <f t="shared" ref="M6:M17" ca="1" si="1">(K6/G6)^0.25-1</f>
        <v>2.9503498676818118E-2</v>
      </c>
    </row>
    <row r="7" spans="2:18" x14ac:dyDescent="0.25">
      <c r="B7" t="s">
        <v>23</v>
      </c>
      <c r="G7" s="2">
        <f>-Assumptions!G56</f>
        <v>-21</v>
      </c>
      <c r="H7" s="2">
        <f>-Assumptions!H56</f>
        <v>-22</v>
      </c>
      <c r="I7" s="2">
        <f>-Assumptions!I56</f>
        <v>-23</v>
      </c>
      <c r="J7" s="2">
        <f>-Assumptions!J56</f>
        <v>-24</v>
      </c>
      <c r="K7" s="2">
        <f>-Assumptions!K56</f>
        <v>-25</v>
      </c>
      <c r="M7" s="20">
        <f t="shared" si="1"/>
        <v>4.455227307203824E-2</v>
      </c>
    </row>
    <row r="8" spans="2:18" x14ac:dyDescent="0.25">
      <c r="B8" t="s">
        <v>24</v>
      </c>
      <c r="G8" s="2">
        <f>-Assumptions!G59</f>
        <v>-16</v>
      </c>
      <c r="H8" s="2">
        <f>-Assumptions!H59</f>
        <v>-16.5</v>
      </c>
      <c r="I8" s="2">
        <f>-Assumptions!I59</f>
        <v>-17</v>
      </c>
      <c r="J8" s="2">
        <f>-Assumptions!J59</f>
        <v>-17.5</v>
      </c>
      <c r="K8" s="2">
        <f>-Assumptions!K59</f>
        <v>-18</v>
      </c>
      <c r="M8" s="20">
        <f>(K8/G8)^0.25-1</f>
        <v>2.9883571953558841E-2</v>
      </c>
    </row>
    <row r="9" spans="2:18" x14ac:dyDescent="0.25">
      <c r="B9" t="s">
        <v>26</v>
      </c>
      <c r="G9" s="2">
        <f>-Assumptions!G58</f>
        <v>-38.000000000000028</v>
      </c>
      <c r="H9" s="2">
        <f>-Assumptions!H58</f>
        <v>-40.575000000000074</v>
      </c>
      <c r="I9" s="2">
        <f>-Assumptions!I58</f>
        <v>-39.38749999999996</v>
      </c>
      <c r="J9" s="2">
        <f>-Assumptions!J58</f>
        <v>-40.299999999999898</v>
      </c>
      <c r="K9" s="2">
        <f>-Assumptions!K58</f>
        <v>-43.150000000000091</v>
      </c>
      <c r="M9" s="20">
        <f t="shared" si="1"/>
        <v>3.2284249246870678E-2</v>
      </c>
    </row>
    <row r="10" spans="2:18" x14ac:dyDescent="0.25">
      <c r="B10" t="s">
        <v>27</v>
      </c>
      <c r="G10" s="2">
        <f>-Assumptions!G57</f>
        <v>-1</v>
      </c>
      <c r="H10" s="2">
        <f>-Assumptions!H57</f>
        <v>-1</v>
      </c>
      <c r="I10" s="2">
        <f>-Assumptions!I57</f>
        <v>-1</v>
      </c>
      <c r="J10" s="2">
        <f>-Assumptions!J57</f>
        <v>-1</v>
      </c>
      <c r="K10" s="2">
        <f>-Assumptions!K57</f>
        <v>-1</v>
      </c>
      <c r="M10" s="20">
        <f t="shared" si="1"/>
        <v>0</v>
      </c>
    </row>
    <row r="11" spans="2:18" x14ac:dyDescent="0.25">
      <c r="B11" s="1" t="s">
        <v>103</v>
      </c>
      <c r="G11" s="50">
        <f ca="1">SUM(G6:G10)</f>
        <v>107.4520260680288</v>
      </c>
      <c r="H11" s="50">
        <f t="shared" ref="H11:K11" ca="1" si="2">SUM(H6:H10)</f>
        <v>113.01067605424757</v>
      </c>
      <c r="I11" s="50">
        <f t="shared" ca="1" si="2"/>
        <v>118.93152443762656</v>
      </c>
      <c r="J11" s="50">
        <f t="shared" ca="1" si="2"/>
        <v>120.27903878110538</v>
      </c>
      <c r="K11" s="50">
        <f t="shared" ca="1" si="2"/>
        <v>118.92903878110519</v>
      </c>
      <c r="M11" s="64">
        <f t="shared" ca="1" si="1"/>
        <v>2.5695204436052776E-2</v>
      </c>
    </row>
    <row r="12" spans="2:18" x14ac:dyDescent="0.25">
      <c r="B12" t="s">
        <v>74</v>
      </c>
      <c r="G12" s="2">
        <f>Assumptions!G64</f>
        <v>2.1825000000000001</v>
      </c>
      <c r="H12" s="2">
        <f>Assumptions!H64</f>
        <v>2.4007499999999999</v>
      </c>
      <c r="I12" s="2">
        <f>Assumptions!I64</f>
        <v>2.6190000000000002</v>
      </c>
      <c r="J12" s="2">
        <f>Assumptions!J64</f>
        <v>2.83725</v>
      </c>
      <c r="K12" s="2">
        <f>Assumptions!K64</f>
        <v>3.0554999999999999</v>
      </c>
      <c r="M12" s="20">
        <f t="shared" si="1"/>
        <v>8.7757305937277152E-2</v>
      </c>
    </row>
    <row r="13" spans="2:18" x14ac:dyDescent="0.25">
      <c r="B13" t="s">
        <v>55</v>
      </c>
      <c r="G13" s="2">
        <f>-Assumptions!G45*Assumptions!G29*(1-Assumptions!G20)</f>
        <v>-33.287228315186802</v>
      </c>
      <c r="H13" s="2">
        <f>-Assumptions!H45*Assumptions!H29*(1-Assumptions!H20)</f>
        <v>-34.177536667980881</v>
      </c>
      <c r="I13" s="2">
        <f>-Assumptions!I45*Assumptions!I29*(1-Assumptions!I20)</f>
        <v>-35.431248636555623</v>
      </c>
      <c r="J13" s="2">
        <f>-Assumptions!J45*Assumptions!J29*(1-Assumptions!J20)</f>
        <v>-36.522022897813272</v>
      </c>
      <c r="K13" s="2">
        <f>-Assumptions!K45*Assumptions!K29*(1-Assumptions!K20)</f>
        <v>-37.581424331506625</v>
      </c>
      <c r="M13" s="20">
        <f t="shared" si="1"/>
        <v>3.0798790372433382E-2</v>
      </c>
    </row>
    <row r="14" spans="2:18" x14ac:dyDescent="0.25">
      <c r="B14" t="s">
        <v>76</v>
      </c>
      <c r="G14" s="2">
        <f>Assumptions!G65</f>
        <v>0.83188875000000018</v>
      </c>
      <c r="H14" s="2">
        <f>Assumptions!H65</f>
        <v>0.91507762500000012</v>
      </c>
      <c r="I14" s="2">
        <f>Assumptions!I65</f>
        <v>0.99826649999999995</v>
      </c>
      <c r="J14" s="2">
        <f>Assumptions!J65</f>
        <v>1.081455375</v>
      </c>
      <c r="K14" s="2">
        <f>Assumptions!K65</f>
        <v>1.1646442499999998</v>
      </c>
      <c r="M14" s="20">
        <f t="shared" si="1"/>
        <v>8.7757305937277152E-2</v>
      </c>
    </row>
    <row r="15" spans="2:18" x14ac:dyDescent="0.25">
      <c r="B15" s="1" t="s">
        <v>104</v>
      </c>
      <c r="C15" s="1"/>
      <c r="D15" s="1"/>
      <c r="E15" s="1"/>
      <c r="F15" s="1"/>
      <c r="G15" s="50">
        <f ca="1">SUM(G11:G14)</f>
        <v>77.179186502842001</v>
      </c>
      <c r="H15" s="50">
        <f t="shared" ref="H15:K15" ca="1" si="3">SUM(H11:H14)</f>
        <v>82.148967011266691</v>
      </c>
      <c r="I15" s="50">
        <f t="shared" ca="1" si="3"/>
        <v>87.117542301070941</v>
      </c>
      <c r="J15" s="50">
        <f t="shared" ca="1" si="3"/>
        <v>87.675721258292114</v>
      </c>
      <c r="K15" s="50">
        <f t="shared" ca="1" si="3"/>
        <v>85.567758699598556</v>
      </c>
      <c r="M15" s="64">
        <f t="shared" ca="1" si="1"/>
        <v>2.6130248373662956E-2</v>
      </c>
    </row>
    <row r="16" spans="2:18" x14ac:dyDescent="0.25">
      <c r="B16" t="s">
        <v>25</v>
      </c>
      <c r="G16" s="2">
        <f ca="1">-G15*Assumptions!$F$5</f>
        <v>-27.39861120850891</v>
      </c>
      <c r="H16" s="2">
        <f ca="1">-H15*Assumptions!$F$5</f>
        <v>-29.162883288999673</v>
      </c>
      <c r="I16" s="2">
        <f ca="1">-I15*Assumptions!$F$5</f>
        <v>-30.926727516880181</v>
      </c>
      <c r="J16" s="2">
        <f ca="1">-J15*Assumptions!$F$5</f>
        <v>-31.124881046693698</v>
      </c>
      <c r="K16" s="2">
        <f ca="1">-K15*Assumptions!$F$5</f>
        <v>-30.376554338357487</v>
      </c>
      <c r="M16" s="20">
        <f t="shared" ca="1" si="1"/>
        <v>2.6130248373662956E-2</v>
      </c>
      <c r="N16" s="2"/>
      <c r="O16" s="2"/>
      <c r="P16" s="2"/>
      <c r="Q16" s="2"/>
      <c r="R16" s="2"/>
    </row>
    <row r="17" spans="2:13" x14ac:dyDescent="0.25">
      <c r="B17" s="1" t="s">
        <v>57</v>
      </c>
      <c r="C17" s="1"/>
      <c r="D17" s="1"/>
      <c r="E17" s="1"/>
      <c r="G17" s="3">
        <f ca="1">SUM(G15:G16)</f>
        <v>49.78057529433309</v>
      </c>
      <c r="H17" s="3">
        <f t="shared" ref="H17:K17" ca="1" si="4">SUM(H15:H16)</f>
        <v>52.986083722267018</v>
      </c>
      <c r="I17" s="3">
        <f t="shared" ca="1" si="4"/>
        <v>56.190814784190763</v>
      </c>
      <c r="J17" s="3">
        <f t="shared" ca="1" si="4"/>
        <v>56.550840211598413</v>
      </c>
      <c r="K17" s="3">
        <f t="shared" ca="1" si="4"/>
        <v>55.19120436124107</v>
      </c>
      <c r="M17" s="33">
        <f t="shared" ca="1" si="1"/>
        <v>2.6130248373662956E-2</v>
      </c>
    </row>
    <row r="19" spans="2:13" x14ac:dyDescent="0.25">
      <c r="B19" s="19" t="s">
        <v>68</v>
      </c>
      <c r="C19" s="19"/>
      <c r="D19" s="19"/>
      <c r="E19" s="19"/>
      <c r="F19" s="19"/>
      <c r="G19" s="35">
        <f ca="1">G6+G7+G8</f>
        <v>146.45202606802883</v>
      </c>
      <c r="H19" s="35">
        <f ca="1">H6+H7+H8</f>
        <v>154.58567605424764</v>
      </c>
      <c r="I19" s="35">
        <f ca="1">I6+I7+I8</f>
        <v>159.31902443762652</v>
      </c>
      <c r="J19" s="35">
        <f ca="1">J6+J7+J8</f>
        <v>161.57903878110528</v>
      </c>
      <c r="K19" s="35">
        <f ca="1">K6+K7+K8</f>
        <v>163.07903878110528</v>
      </c>
      <c r="M19" s="20">
        <f ca="1">(K19/G19)^0.25-1</f>
        <v>2.7248911356192007E-2</v>
      </c>
    </row>
    <row r="20" spans="2:13" x14ac:dyDescent="0.25">
      <c r="B20" s="19" t="s">
        <v>69</v>
      </c>
      <c r="C20" s="19"/>
      <c r="D20" s="19"/>
      <c r="E20" s="19"/>
      <c r="F20" s="19"/>
      <c r="G20" s="35">
        <f ca="1">G19+G11+G12</f>
        <v>256.08655213605761</v>
      </c>
      <c r="H20" s="35">
        <f t="shared" ref="H20:K20" ca="1" si="5">H19+H11+H12</f>
        <v>269.99710210849526</v>
      </c>
      <c r="I20" s="35">
        <f t="shared" ca="1" si="5"/>
        <v>280.86954887525314</v>
      </c>
      <c r="J20" s="35">
        <f t="shared" ca="1" si="5"/>
        <v>284.69532756221065</v>
      </c>
      <c r="K20" s="35">
        <f t="shared" ca="1" si="5"/>
        <v>285.06357756221047</v>
      </c>
      <c r="M20" s="20">
        <f ca="1">(K20/G20)^0.25-1</f>
        <v>2.7161515933737945E-2</v>
      </c>
    </row>
    <row r="21" spans="2:13" x14ac:dyDescent="0.25">
      <c r="B21" s="19" t="s">
        <v>43</v>
      </c>
      <c r="C21" s="19"/>
      <c r="D21" s="19"/>
      <c r="E21" s="19"/>
      <c r="F21" s="19"/>
      <c r="G21" s="35">
        <f ca="1">G20+G16</f>
        <v>228.68794092754871</v>
      </c>
      <c r="H21" s="35">
        <f t="shared" ref="H21:K21" ca="1" si="6">H20+H16</f>
        <v>240.83421881949559</v>
      </c>
      <c r="I21" s="35">
        <f t="shared" ca="1" si="6"/>
        <v>249.94282135837295</v>
      </c>
      <c r="J21" s="35">
        <f t="shared" ca="1" si="6"/>
        <v>253.57044651551695</v>
      </c>
      <c r="K21" s="35">
        <f t="shared" ca="1" si="6"/>
        <v>254.68702322385298</v>
      </c>
      <c r="M21" s="20">
        <f ca="1">(K21/G21)^0.25-1</f>
        <v>2.728486171912059E-2</v>
      </c>
    </row>
    <row r="22" spans="2:13" x14ac:dyDescent="0.25">
      <c r="B22" s="19" t="s">
        <v>65</v>
      </c>
      <c r="C22" s="19"/>
      <c r="D22" s="19"/>
      <c r="E22" s="19"/>
      <c r="F22" s="19"/>
      <c r="G22" s="20">
        <f ca="1">G17/('Rate Base &amp; Revenue Req'!G11*Assumptions!F19)</f>
        <v>8.5724565961232194E-2</v>
      </c>
      <c r="H22" s="20">
        <f ca="1">H17/('Rate Base &amp; Revenue Req'!H11*Assumptions!G19)</f>
        <v>8.886772897996853E-2</v>
      </c>
      <c r="I22" s="20">
        <f ca="1">I17/('Rate Base &amp; Revenue Req'!I11*Assumptions!H19)</f>
        <v>9.0907955430730047E-2</v>
      </c>
      <c r="J22" s="20">
        <f ca="1">J17/('Rate Base &amp; Revenue Req'!J11*Assumptions!I19)</f>
        <v>8.8757948554287605E-2</v>
      </c>
      <c r="K22" s="20">
        <f ca="1">K17/('Rate Base &amp; Revenue Req'!K11*Assumptions!J19)</f>
        <v>8.4182080306489271E-2</v>
      </c>
      <c r="M22" s="20">
        <f ca="1">(K22/G22)^0.25-1</f>
        <v>-4.5290526554494503E-3</v>
      </c>
    </row>
    <row r="23" spans="2:13" x14ac:dyDescent="0.25">
      <c r="B23" s="19"/>
      <c r="C23" s="19"/>
      <c r="D23" s="19"/>
      <c r="E23" s="19"/>
      <c r="F23" s="19"/>
      <c r="G23" s="35"/>
      <c r="H23" s="35"/>
      <c r="I23" s="35"/>
      <c r="J23" s="35"/>
      <c r="K23" s="35"/>
      <c r="M23" s="20"/>
    </row>
    <row r="24" spans="2:13" x14ac:dyDescent="0.25">
      <c r="B24" s="19" t="s">
        <v>77</v>
      </c>
      <c r="C24" s="19"/>
      <c r="D24" s="19"/>
      <c r="E24" s="19"/>
      <c r="F24" s="19"/>
      <c r="G24" s="35">
        <f ca="1">G$17-G$12-G$13-G$14</f>
        <v>80.05341485951989</v>
      </c>
      <c r="H24" s="35">
        <f ca="1">H$17-H$12-H$13-H$14</f>
        <v>83.847792765247902</v>
      </c>
      <c r="I24" s="35">
        <f ca="1">I$17-I$12-I$13-I$14</f>
        <v>88.004796920746386</v>
      </c>
      <c r="J24" s="35">
        <f ca="1">J$17-J$12-J$13-J$14</f>
        <v>89.154157734411683</v>
      </c>
      <c r="K24" s="35">
        <f ca="1">K$17-K$12-K$13-K$14</f>
        <v>88.552484442747698</v>
      </c>
      <c r="M24" s="20">
        <f ca="1">(K24/G24)^0.25-1</f>
        <v>2.5546181624290343E-2</v>
      </c>
    </row>
    <row r="25" spans="2:13" x14ac:dyDescent="0.25">
      <c r="B25" s="19" t="s">
        <v>80</v>
      </c>
      <c r="C25" s="19"/>
      <c r="D25" s="19"/>
      <c r="E25" s="19"/>
      <c r="F25" s="19"/>
      <c r="G25" s="35">
        <f>'Rate Base &amp; Revenue Req'!G$11</f>
        <v>1290.4527356149176</v>
      </c>
      <c r="H25" s="35">
        <f>'Rate Base &amp; Revenue Req'!H$11</f>
        <v>1324.9675002124784</v>
      </c>
      <c r="I25" s="35">
        <f>'Rate Base &amp; Revenue Req'!I$11</f>
        <v>1373.5704065344298</v>
      </c>
      <c r="J25" s="35">
        <f>'Rate Base &amp; Revenue Req'!J$11</f>
        <v>1415.8566736892139</v>
      </c>
      <c r="K25" s="35">
        <f>'Rate Base &amp; Revenue Req'!K$11</f>
        <v>1456.9267040708132</v>
      </c>
      <c r="M25" s="20">
        <f>(K25/G25)^0.25-1</f>
        <v>3.0798790372433382E-2</v>
      </c>
    </row>
    <row r="26" spans="2:13" x14ac:dyDescent="0.25">
      <c r="B26" s="34" t="s">
        <v>87</v>
      </c>
      <c r="C26" s="34"/>
      <c r="D26" s="34"/>
      <c r="E26" s="34"/>
      <c r="F26" s="34"/>
      <c r="G26" s="33">
        <f ca="1">G24/G25</f>
        <v>6.2035139025354069E-2</v>
      </c>
      <c r="H26" s="33">
        <f t="shared" ref="H26:K26" ca="1" si="7">H24/H25</f>
        <v>6.3282905242431728E-2</v>
      </c>
      <c r="I26" s="33">
        <f t="shared" ca="1" si="7"/>
        <v>6.4070102633315917E-2</v>
      </c>
      <c r="J26" s="33">
        <f t="shared" ca="1" si="7"/>
        <v>6.2968349403692087E-2</v>
      </c>
      <c r="K26" s="33">
        <f t="shared" ca="1" si="7"/>
        <v>6.0780329027755708E-2</v>
      </c>
      <c r="L26" s="1"/>
      <c r="M26" s="64">
        <f ca="1">(K26/G26)^0.25-1</f>
        <v>-5.0956683275165116E-3</v>
      </c>
    </row>
    <row r="27" spans="2:13" x14ac:dyDescent="0.2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2:13" x14ac:dyDescent="0.25">
      <c r="B28" s="19" t="s">
        <v>81</v>
      </c>
      <c r="C28" s="19"/>
      <c r="D28" s="19"/>
      <c r="E28" s="19"/>
      <c r="F28" s="19"/>
      <c r="G28" s="35">
        <f ca="1">G$17-G$12-G$14</f>
        <v>46.766186544333095</v>
      </c>
      <c r="H28" s="35">
        <f ca="1">H$17-H$12-H$14</f>
        <v>49.670256097267014</v>
      </c>
      <c r="I28" s="35">
        <f ca="1">I$17-I$12-I$14</f>
        <v>52.573548284190764</v>
      </c>
      <c r="J28" s="35">
        <f ca="1">J$17-J$12-J$14</f>
        <v>52.632134836598418</v>
      </c>
      <c r="K28" s="35">
        <f ca="1">K$17-K$12-K$14</f>
        <v>50.971060111241066</v>
      </c>
      <c r="L28" s="5"/>
      <c r="M28" s="20">
        <f ca="1">(K28/G28)^0.25-1</f>
        <v>2.1757718575138751E-2</v>
      </c>
    </row>
    <row r="29" spans="2:13" x14ac:dyDescent="0.25">
      <c r="B29" s="19" t="s">
        <v>79</v>
      </c>
      <c r="C29" s="19"/>
      <c r="D29" s="19"/>
      <c r="E29" s="19"/>
      <c r="F29" s="19"/>
      <c r="G29" s="35">
        <f>'Rate Base &amp; Revenue Req'!G$11*Assumptions!G20</f>
        <v>580.70373102671294</v>
      </c>
      <c r="H29" s="35">
        <f>'Rate Base &amp; Revenue Req'!H$11*Assumptions!H20</f>
        <v>596.23537509561527</v>
      </c>
      <c r="I29" s="35">
        <f>'Rate Base &amp; Revenue Req'!I$11*Assumptions!I20</f>
        <v>618.10668294049344</v>
      </c>
      <c r="J29" s="35">
        <f>'Rate Base &amp; Revenue Req'!J$11*Assumptions!J20</f>
        <v>637.1355031601463</v>
      </c>
      <c r="K29" s="35">
        <f>'Rate Base &amp; Revenue Req'!K$11*Assumptions!K20</f>
        <v>655.61701683186595</v>
      </c>
      <c r="L29" s="5"/>
      <c r="M29" s="20">
        <f>(K29/G29)^0.25-1</f>
        <v>3.0798790372433382E-2</v>
      </c>
    </row>
    <row r="30" spans="2:13" x14ac:dyDescent="0.25">
      <c r="B30" s="34" t="s">
        <v>78</v>
      </c>
      <c r="C30" s="34"/>
      <c r="D30" s="34"/>
      <c r="E30" s="34"/>
      <c r="F30" s="34"/>
      <c r="G30" s="33">
        <f ca="1">G28/G29</f>
        <v>8.0533642278564604E-2</v>
      </c>
      <c r="H30" s="33">
        <f t="shared" ref="H30" ca="1" si="8">H28/H29</f>
        <v>8.33064560942927E-2</v>
      </c>
      <c r="I30" s="33">
        <f t="shared" ref="I30" ca="1" si="9">I28/I29</f>
        <v>8.5055783629590917E-2</v>
      </c>
      <c r="J30" s="33">
        <f t="shared" ref="J30" ca="1" si="10">J28/J29</f>
        <v>8.2607443119315768E-2</v>
      </c>
      <c r="K30" s="33">
        <f t="shared" ref="K30" ca="1" si="11">K28/K29</f>
        <v>7.7745175617234902E-2</v>
      </c>
      <c r="L30" s="1"/>
      <c r="M30" s="64">
        <f ca="1">(K30/G30)^0.25-1</f>
        <v>-8.7709375309104054E-3</v>
      </c>
    </row>
    <row r="32" spans="2:13" x14ac:dyDescent="0.25">
      <c r="B32" s="34" t="s">
        <v>64</v>
      </c>
    </row>
    <row r="33" spans="2:13" x14ac:dyDescent="0.25">
      <c r="B33" s="19" t="s">
        <v>23</v>
      </c>
      <c r="C33" s="19"/>
      <c r="D33" s="19"/>
      <c r="E33" s="19"/>
      <c r="F33" s="19"/>
      <c r="G33" s="20">
        <f ca="1">-G7/G$6</f>
        <v>0.11447134408977663</v>
      </c>
      <c r="H33" s="20">
        <f ca="1">-H7/H$6</f>
        <v>0.11393905777774564</v>
      </c>
      <c r="I33" s="20">
        <f ca="1">-I7/I$6</f>
        <v>0.11539289872050049</v>
      </c>
      <c r="J33" s="20">
        <f ca="1">-J7/J$6</f>
        <v>0.1181805869480656</v>
      </c>
      <c r="K33" s="20">
        <f ca="1">-K7/K$6</f>
        <v>0.12131267763993554</v>
      </c>
      <c r="M33" s="20">
        <f t="shared" ref="M33:M38" ca="1" si="12">(K33/G33)^0.25-1</f>
        <v>1.4617506802610869E-2</v>
      </c>
    </row>
    <row r="34" spans="2:13" x14ac:dyDescent="0.25">
      <c r="B34" s="19" t="s">
        <v>28</v>
      </c>
      <c r="C34" s="19"/>
      <c r="D34" s="19"/>
      <c r="E34" s="19"/>
      <c r="F34" s="19"/>
      <c r="G34" s="20">
        <f ca="1">-G9/G$6</f>
        <v>0.20713862263864358</v>
      </c>
      <c r="H34" s="20">
        <f ca="1">-H9/H$6</f>
        <v>0.21013987587872898</v>
      </c>
      <c r="I34" s="20">
        <f ca="1">-I9/I$6</f>
        <v>0.19761033905885689</v>
      </c>
      <c r="J34" s="20">
        <f ca="1">-J9/J$6</f>
        <v>0.19844490225029299</v>
      </c>
      <c r="K34" s="20">
        <f ca="1">-K9/K$6</f>
        <v>0.20938568160652918</v>
      </c>
      <c r="M34" s="20">
        <f t="shared" ca="1" si="12"/>
        <v>2.7010598542176467E-3</v>
      </c>
    </row>
    <row r="35" spans="2:13" x14ac:dyDescent="0.25">
      <c r="B35" s="19" t="s">
        <v>27</v>
      </c>
      <c r="C35" s="19"/>
      <c r="D35" s="19"/>
      <c r="E35" s="19"/>
      <c r="F35" s="19"/>
      <c r="G35" s="20">
        <f ca="1">-G10/G$6</f>
        <v>5.4510163852274588E-3</v>
      </c>
      <c r="H35" s="20">
        <f ca="1">-H10/H$6</f>
        <v>5.1790480808066204E-3</v>
      </c>
      <c r="I35" s="20">
        <f ca="1">-I10/I$6</f>
        <v>5.0170825530652385E-3</v>
      </c>
      <c r="J35" s="20">
        <f ca="1">-J10/J$6</f>
        <v>4.9241911228360673E-3</v>
      </c>
      <c r="K35" s="20">
        <f ca="1">-K10/K$6</f>
        <v>4.8525071055974213E-3</v>
      </c>
      <c r="M35" s="20">
        <f t="shared" ca="1" si="12"/>
        <v>-2.8657987772492177E-2</v>
      </c>
    </row>
    <row r="36" spans="2:13" x14ac:dyDescent="0.25">
      <c r="B36" s="19" t="s">
        <v>24</v>
      </c>
      <c r="C36" s="19"/>
      <c r="D36" s="19"/>
      <c r="E36" s="19"/>
      <c r="F36" s="19"/>
      <c r="G36" s="20">
        <f ca="1">-G8/G$6</f>
        <v>8.7216262163639341E-2</v>
      </c>
      <c r="H36" s="20">
        <f ca="1">-H8/H$6</f>
        <v>8.5454293333309228E-2</v>
      </c>
      <c r="I36" s="20">
        <f ca="1">-I8/I$6</f>
        <v>8.5290403402109055E-2</v>
      </c>
      <c r="J36" s="20">
        <f ca="1">-J8/J$6</f>
        <v>8.6173344649631167E-2</v>
      </c>
      <c r="K36" s="20">
        <f ca="1">-K8/K$6</f>
        <v>8.7345127900753591E-2</v>
      </c>
      <c r="M36" s="20">
        <f t="shared" ca="1" si="12"/>
        <v>3.691811414232582E-4</v>
      </c>
    </row>
    <row r="37" spans="2:13" x14ac:dyDescent="0.25">
      <c r="B37" s="19" t="s">
        <v>55</v>
      </c>
      <c r="C37" s="19"/>
      <c r="D37" s="19"/>
      <c r="E37" s="19"/>
      <c r="F37" s="19"/>
      <c r="G37" s="20">
        <f ca="1">-G13/G$6</f>
        <v>0.18144922696489066</v>
      </c>
      <c r="H37" s="20">
        <f ca="1">-H13/H$6</f>
        <v>0.17700710568700426</v>
      </c>
      <c r="I37" s="20">
        <f ca="1">-I13/I$6</f>
        <v>0.17776149936777974</v>
      </c>
      <c r="J37" s="20">
        <f ca="1">-J13/J$6</f>
        <v>0.17984142094142769</v>
      </c>
      <c r="K37" s="20">
        <f ca="1">-K13/K$6</f>
        <v>0.18236412860710774</v>
      </c>
      <c r="M37" s="20">
        <f t="shared" ca="1" si="12"/>
        <v>1.2581712420405289E-3</v>
      </c>
    </row>
    <row r="38" spans="2:13" x14ac:dyDescent="0.25">
      <c r="B38" s="19" t="s">
        <v>25</v>
      </c>
      <c r="C38" s="19"/>
      <c r="D38" s="19"/>
      <c r="E38" s="19"/>
      <c r="F38" s="19"/>
      <c r="G38" s="20">
        <f t="shared" ref="G38:K38" ca="1" si="13">-G16/G$6</f>
        <v>0.14935027863005876</v>
      </c>
      <c r="H38" s="20">
        <f t="shared" ca="1" si="13"/>
        <v>0.15103597472868122</v>
      </c>
      <c r="I38" s="20">
        <f t="shared" ca="1" si="13"/>
        <v>0.15516194504834219</v>
      </c>
      <c r="J38" s="20">
        <f t="shared" ca="1" si="13"/>
        <v>0.15326486294945765</v>
      </c>
      <c r="K38" s="20">
        <f t="shared" ca="1" si="13"/>
        <v>0.14740244577044589</v>
      </c>
      <c r="M38" s="20">
        <f t="shared" ca="1" si="12"/>
        <v>-3.2765797372137362E-3</v>
      </c>
    </row>
    <row r="40" spans="2:13" x14ac:dyDescent="0.25">
      <c r="B40" s="34" t="s">
        <v>63</v>
      </c>
    </row>
    <row r="41" spans="2:13" s="19" customFormat="1" x14ac:dyDescent="0.25">
      <c r="B41" s="19" t="s">
        <v>40</v>
      </c>
      <c r="H41" s="32">
        <f ca="1">H6/G6-1</f>
        <v>5.2513183924425055E-2</v>
      </c>
      <c r="I41" s="32">
        <f ca="1">I6/H6-1</f>
        <v>3.2282810981937526E-2</v>
      </c>
      <c r="J41" s="32">
        <f ca="1">J6/I6-1</f>
        <v>1.8864302361942364E-2</v>
      </c>
      <c r="K41" s="32">
        <f ca="1">K6/J6-1</f>
        <v>1.4772573368508235E-2</v>
      </c>
    </row>
    <row r="42" spans="2:13" s="19" customFormat="1" x14ac:dyDescent="0.25">
      <c r="B42" s="19" t="s">
        <v>23</v>
      </c>
      <c r="H42" s="32">
        <f>H7/G7-1</f>
        <v>4.7619047619047672E-2</v>
      </c>
      <c r="I42" s="32">
        <f>I7/H7-1</f>
        <v>4.5454545454545414E-2</v>
      </c>
      <c r="J42" s="32">
        <f>J7/I7-1</f>
        <v>4.3478260869565188E-2</v>
      </c>
      <c r="K42" s="32">
        <f>K7/J7-1</f>
        <v>4.1666666666666741E-2</v>
      </c>
    </row>
    <row r="43" spans="2:13" s="19" customFormat="1" x14ac:dyDescent="0.25">
      <c r="B43" s="19" t="s">
        <v>28</v>
      </c>
      <c r="H43" s="32">
        <f>H9/G9-1</f>
        <v>6.7763157894737969E-2</v>
      </c>
      <c r="I43" s="32">
        <f>I9/H9-1</f>
        <v>-2.9266789895258438E-2</v>
      </c>
      <c r="J43" s="32">
        <f>J9/I9-1</f>
        <v>2.3167248492540482E-2</v>
      </c>
      <c r="K43" s="32">
        <f>K9/J9-1</f>
        <v>7.0719602977672436E-2</v>
      </c>
    </row>
    <row r="44" spans="2:13" s="19" customFormat="1" x14ac:dyDescent="0.25">
      <c r="B44" s="19" t="s">
        <v>27</v>
      </c>
      <c r="H44" s="32">
        <f>H10/G10-1</f>
        <v>0</v>
      </c>
      <c r="I44" s="32">
        <f>I10/H10-1</f>
        <v>0</v>
      </c>
      <c r="J44" s="32">
        <f>J10/I10-1</f>
        <v>0</v>
      </c>
      <c r="K44" s="32">
        <f>K10/J10-1</f>
        <v>0</v>
      </c>
    </row>
    <row r="45" spans="2:13" s="19" customFormat="1" x14ac:dyDescent="0.25">
      <c r="B45" s="19" t="s">
        <v>24</v>
      </c>
      <c r="H45" s="32">
        <f>H8/G8-1</f>
        <v>3.125E-2</v>
      </c>
      <c r="I45" s="32">
        <f>I8/H8-1</f>
        <v>3.0303030303030276E-2</v>
      </c>
      <c r="J45" s="32">
        <f>J8/I8-1</f>
        <v>2.9411764705882248E-2</v>
      </c>
      <c r="K45" s="32">
        <f>K8/J8-1</f>
        <v>2.857142857142847E-2</v>
      </c>
    </row>
    <row r="46" spans="2:13" s="19" customFormat="1" x14ac:dyDescent="0.25">
      <c r="B46" s="19" t="s">
        <v>55</v>
      </c>
      <c r="H46" s="32">
        <f t="shared" ref="H46:K46" si="14">H13/G13-1</f>
        <v>2.674624466669373E-2</v>
      </c>
      <c r="I46" s="32">
        <f t="shared" si="14"/>
        <v>3.6682338483138288E-2</v>
      </c>
      <c r="J46" s="32">
        <f t="shared" si="14"/>
        <v>3.0785656820806029E-2</v>
      </c>
      <c r="K46" s="32">
        <f t="shared" si="14"/>
        <v>2.9007194827556537E-2</v>
      </c>
    </row>
    <row r="47" spans="2:13" s="19" customFormat="1" x14ac:dyDescent="0.25">
      <c r="B47" s="19" t="s">
        <v>25</v>
      </c>
      <c r="H47" s="32">
        <f t="shared" ref="H47:K48" ca="1" si="15">H16/G16-1</f>
        <v>6.4392755788397427E-2</v>
      </c>
      <c r="I47" s="32">
        <f t="shared" ca="1" si="15"/>
        <v>6.0482504778456958E-2</v>
      </c>
      <c r="J47" s="32">
        <f t="shared" ca="1" si="15"/>
        <v>6.4071935740812602E-3</v>
      </c>
      <c r="K47" s="32">
        <f t="shared" ca="1" si="15"/>
        <v>-2.4042717053715634E-2</v>
      </c>
    </row>
    <row r="48" spans="2:13" s="19" customFormat="1" x14ac:dyDescent="0.25">
      <c r="B48" s="19" t="s">
        <v>57</v>
      </c>
      <c r="H48" s="32">
        <f t="shared" ca="1" si="15"/>
        <v>6.4392755788397649E-2</v>
      </c>
      <c r="I48" s="32">
        <f t="shared" ca="1" si="15"/>
        <v>6.048250477845718E-2</v>
      </c>
      <c r="J48" s="32">
        <f t="shared" ca="1" si="15"/>
        <v>6.4071935740810382E-3</v>
      </c>
      <c r="K48" s="32">
        <f t="shared" ca="1" si="15"/>
        <v>-2.4042717053715634E-2</v>
      </c>
    </row>
    <row r="49" spans="7:11" x14ac:dyDescent="0.25">
      <c r="G49" s="18"/>
      <c r="H49" s="18"/>
      <c r="I49" s="18"/>
      <c r="J49" s="18"/>
      <c r="K49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2060"/>
  </sheetPr>
  <dimension ref="B2:P63"/>
  <sheetViews>
    <sheetView showGridLines="0" zoomScaleNormal="100" workbookViewId="0">
      <selection activeCell="P59" sqref="P59"/>
    </sheetView>
  </sheetViews>
  <sheetFormatPr defaultRowHeight="15" x14ac:dyDescent="0.25"/>
  <sheetData>
    <row r="2" spans="2:12" ht="16.5" thickBot="1" x14ac:dyDescent="0.3">
      <c r="B2" s="36" t="s">
        <v>1</v>
      </c>
      <c r="C2" s="37"/>
      <c r="D2" s="37"/>
      <c r="E2" s="37"/>
      <c r="F2" s="37"/>
      <c r="G2" s="37"/>
      <c r="H2" s="37"/>
      <c r="I2" s="37"/>
      <c r="J2" s="37"/>
      <c r="K2" s="37"/>
      <c r="L2" s="37"/>
    </row>
    <row r="3" spans="2:12" ht="15.75" thickTop="1" x14ac:dyDescent="0.25"/>
    <row r="5" spans="2:12" x14ac:dyDescent="0.25">
      <c r="B5" s="1"/>
      <c r="C5" s="1"/>
      <c r="D5" s="1"/>
      <c r="E5" s="1"/>
      <c r="F5" s="1"/>
      <c r="G5" s="23">
        <f>Assumptions!$F$4+1</f>
        <v>2017</v>
      </c>
      <c r="H5" s="23">
        <f t="shared" ref="H5:K5" si="0">G5+1</f>
        <v>2018</v>
      </c>
      <c r="I5" s="23">
        <f t="shared" si="0"/>
        <v>2019</v>
      </c>
      <c r="J5" s="23">
        <f t="shared" si="0"/>
        <v>2020</v>
      </c>
      <c r="K5" s="23">
        <f t="shared" si="0"/>
        <v>2021</v>
      </c>
    </row>
    <row r="6" spans="2:12" x14ac:dyDescent="0.25">
      <c r="B6" t="s">
        <v>2</v>
      </c>
      <c r="G6" s="14">
        <f>Assumptions!G35</f>
        <v>1570</v>
      </c>
      <c r="H6" s="14">
        <f>Assumptions!H35</f>
        <v>1680</v>
      </c>
      <c r="I6" s="14">
        <f>Assumptions!I35</f>
        <v>1801</v>
      </c>
      <c r="J6" s="14">
        <f>Assumptions!J35</f>
        <v>1915</v>
      </c>
      <c r="K6" s="14">
        <f>Assumptions!K35</f>
        <v>2029</v>
      </c>
    </row>
    <row r="7" spans="2:12" x14ac:dyDescent="0.25">
      <c r="B7" t="s">
        <v>3</v>
      </c>
      <c r="G7" s="14">
        <f>-Assumptions!G36</f>
        <v>-198</v>
      </c>
      <c r="H7" s="14">
        <f>-Assumptions!H36</f>
        <v>-238.57500000000007</v>
      </c>
      <c r="I7" s="14">
        <f>-Assumptions!I36</f>
        <v>-277.96250000000003</v>
      </c>
      <c r="J7" s="14">
        <f>-Assumptions!J36</f>
        <v>-318.26249999999993</v>
      </c>
      <c r="K7" s="14">
        <f>-Assumptions!K36</f>
        <v>-361.41250000000002</v>
      </c>
    </row>
    <row r="8" spans="2:12" x14ac:dyDescent="0.25">
      <c r="B8" s="5" t="s">
        <v>0</v>
      </c>
      <c r="C8" s="5"/>
      <c r="D8" s="5"/>
      <c r="E8" s="5"/>
      <c r="F8" s="5"/>
      <c r="G8" s="16">
        <f t="shared" ref="G8:K8" si="1">SUM(G6:G7)</f>
        <v>1372</v>
      </c>
      <c r="H8" s="16">
        <f t="shared" si="1"/>
        <v>1441.425</v>
      </c>
      <c r="I8" s="16">
        <f t="shared" si="1"/>
        <v>1523.0374999999999</v>
      </c>
      <c r="J8" s="16">
        <f t="shared" si="1"/>
        <v>1596.7375000000002</v>
      </c>
      <c r="K8" s="16">
        <f t="shared" si="1"/>
        <v>1667.5875000000001</v>
      </c>
    </row>
    <row r="9" spans="2:12" x14ac:dyDescent="0.25">
      <c r="B9" t="s">
        <v>22</v>
      </c>
      <c r="G9" s="2">
        <f>Assumptions!G39</f>
        <v>57</v>
      </c>
      <c r="H9" s="2">
        <f>Assumptions!H39</f>
        <v>57</v>
      </c>
      <c r="I9" s="2">
        <f>Assumptions!I39</f>
        <v>57</v>
      </c>
      <c r="J9" s="2">
        <f>Assumptions!J39</f>
        <v>57</v>
      </c>
      <c r="K9" s="2">
        <f>Assumptions!K39</f>
        <v>57</v>
      </c>
    </row>
    <row r="10" spans="2:12" x14ac:dyDescent="0.25">
      <c r="B10" t="s">
        <v>4</v>
      </c>
      <c r="G10" s="2">
        <f>-Assumptions!G38</f>
        <v>-138.54726438508246</v>
      </c>
      <c r="H10" s="2">
        <f>-Assumptions!H38</f>
        <v>-173.45749978752158</v>
      </c>
      <c r="I10" s="2">
        <f>-Assumptions!I38</f>
        <v>-206.4670934655702</v>
      </c>
      <c r="J10" s="2">
        <f>-Assumptions!J38</f>
        <v>-237.88082631078623</v>
      </c>
      <c r="K10" s="2">
        <f>-Assumptions!K38</f>
        <v>-267.66079592918697</v>
      </c>
    </row>
    <row r="11" spans="2:12" x14ac:dyDescent="0.25">
      <c r="B11" s="1" t="s">
        <v>1</v>
      </c>
      <c r="G11" s="3">
        <f t="shared" ref="G11:K11" si="2">SUM(G8:G10)</f>
        <v>1290.4527356149176</v>
      </c>
      <c r="H11" s="3">
        <f t="shared" si="2"/>
        <v>1324.9675002124784</v>
      </c>
      <c r="I11" s="3">
        <f t="shared" si="2"/>
        <v>1373.5704065344298</v>
      </c>
      <c r="J11" s="3">
        <f t="shared" si="2"/>
        <v>1415.8566736892139</v>
      </c>
      <c r="K11" s="3">
        <f t="shared" si="2"/>
        <v>1456.9267040708132</v>
      </c>
    </row>
    <row r="13" spans="2:12" x14ac:dyDescent="0.25">
      <c r="B13" s="45" t="s">
        <v>32</v>
      </c>
      <c r="C13" s="44"/>
      <c r="D13" s="44"/>
      <c r="E13" s="44"/>
      <c r="F13" s="44"/>
      <c r="G13" s="44"/>
      <c r="H13" s="44"/>
      <c r="I13" s="44"/>
      <c r="J13" s="44"/>
      <c r="K13" s="44"/>
    </row>
    <row r="14" spans="2:12" x14ac:dyDescent="0.25">
      <c r="B14" s="62" t="s">
        <v>44</v>
      </c>
      <c r="C14" s="44"/>
      <c r="D14" s="44"/>
      <c r="E14" s="44"/>
      <c r="F14" s="44"/>
      <c r="G14" s="88">
        <f>Assumptions!G25</f>
        <v>8.0600000000000005E-2</v>
      </c>
      <c r="H14" s="88">
        <f>Assumptions!H25</f>
        <v>8.0600000000000005E-2</v>
      </c>
      <c r="I14" s="88">
        <f>Assumptions!I25</f>
        <v>8.0600000000000005E-2</v>
      </c>
      <c r="J14" s="88">
        <f>Assumptions!J25</f>
        <v>8.0600000000000005E-2</v>
      </c>
      <c r="K14" s="88">
        <f>Assumptions!K25</f>
        <v>8.0600000000000005E-2</v>
      </c>
    </row>
    <row r="15" spans="2:12" x14ac:dyDescent="0.25">
      <c r="B15" s="44" t="s">
        <v>45</v>
      </c>
      <c r="C15" s="44"/>
      <c r="D15" s="44"/>
      <c r="E15" s="44"/>
      <c r="F15" s="44"/>
      <c r="G15" s="88">
        <f>Assumptions!G26</f>
        <v>5.8400000000000001E-2</v>
      </c>
      <c r="H15" s="88">
        <f>Assumptions!H26</f>
        <v>5.8400000000000001E-2</v>
      </c>
      <c r="I15" s="88">
        <f>Assumptions!I26</f>
        <v>5.8400000000000001E-2</v>
      </c>
      <c r="J15" s="88">
        <f>Assumptions!J26</f>
        <v>5.8400000000000001E-2</v>
      </c>
      <c r="K15" s="88">
        <f>Assumptions!K26</f>
        <v>5.8400000000000001E-2</v>
      </c>
    </row>
    <row r="16" spans="2:12" ht="5.0999999999999996" customHeight="1" x14ac:dyDescent="0.25">
      <c r="B16" s="44"/>
      <c r="C16" s="44"/>
      <c r="D16" s="44"/>
      <c r="E16" s="44"/>
      <c r="F16" s="44"/>
      <c r="G16" s="88"/>
      <c r="H16" s="88"/>
      <c r="I16" s="88"/>
      <c r="J16" s="88"/>
      <c r="K16" s="88"/>
    </row>
    <row r="17" spans="2:12" x14ac:dyDescent="0.25">
      <c r="B17" s="45" t="s">
        <v>33</v>
      </c>
      <c r="C17" s="45"/>
      <c r="D17" s="45"/>
      <c r="E17" s="45"/>
      <c r="F17" s="45"/>
      <c r="G17" s="29">
        <f>G11*G14</f>
        <v>104.01049049056236</v>
      </c>
      <c r="H17" s="29">
        <f t="shared" ref="H17:K17" si="3">H11*H14</f>
        <v>106.79238051712576</v>
      </c>
      <c r="I17" s="29">
        <f t="shared" si="3"/>
        <v>110.70977476667505</v>
      </c>
      <c r="J17" s="29">
        <f t="shared" si="3"/>
        <v>114.11804789935066</v>
      </c>
      <c r="K17" s="29">
        <f t="shared" si="3"/>
        <v>117.42829234810755</v>
      </c>
    </row>
    <row r="18" spans="2:12" x14ac:dyDescent="0.25">
      <c r="B18" s="45" t="s">
        <v>34</v>
      </c>
      <c r="C18" s="45"/>
      <c r="D18" s="45"/>
      <c r="E18" s="45"/>
      <c r="F18" s="45"/>
      <c r="G18" s="29">
        <f>G11*G15</f>
        <v>75.362439759911197</v>
      </c>
      <c r="H18" s="29">
        <f t="shared" ref="H18:K18" si="4">H11*H15</f>
        <v>77.378102012408746</v>
      </c>
      <c r="I18" s="29">
        <f t="shared" si="4"/>
        <v>80.216511741610702</v>
      </c>
      <c r="J18" s="29">
        <f t="shared" si="4"/>
        <v>82.686029743450092</v>
      </c>
      <c r="K18" s="29">
        <f t="shared" si="4"/>
        <v>85.084519517735487</v>
      </c>
    </row>
    <row r="20" spans="2:12" x14ac:dyDescent="0.25">
      <c r="B20" s="1" t="s">
        <v>15</v>
      </c>
    </row>
    <row r="21" spans="2:12" x14ac:dyDescent="0.25">
      <c r="B21" t="s">
        <v>42</v>
      </c>
      <c r="G21" s="18">
        <f>Assumptions!G19</f>
        <v>0.45</v>
      </c>
      <c r="H21" s="18">
        <f>Assumptions!H19</f>
        <v>0.45</v>
      </c>
      <c r="I21" s="18">
        <f>Assumptions!I19</f>
        <v>0.45</v>
      </c>
      <c r="J21" s="18">
        <f>Assumptions!J19</f>
        <v>0.45</v>
      </c>
      <c r="K21" s="18">
        <f>Assumptions!K19</f>
        <v>0.45</v>
      </c>
    </row>
    <row r="22" spans="2:12" x14ac:dyDescent="0.25">
      <c r="B22" s="5" t="s">
        <v>46</v>
      </c>
      <c r="G22" s="18">
        <f>Assumptions!G22</f>
        <v>9.7000000000000003E-2</v>
      </c>
      <c r="H22" s="18">
        <f>Assumptions!H22</f>
        <v>9.7000000000000003E-2</v>
      </c>
      <c r="I22" s="18">
        <f>Assumptions!I22</f>
        <v>9.7000000000000003E-2</v>
      </c>
      <c r="J22" s="18">
        <f>Assumptions!J22</f>
        <v>9.7000000000000003E-2</v>
      </c>
      <c r="K22" s="18">
        <f>Assumptions!K22</f>
        <v>9.7000000000000003E-2</v>
      </c>
    </row>
    <row r="23" spans="2:12" x14ac:dyDescent="0.25">
      <c r="B23" t="s">
        <v>47</v>
      </c>
      <c r="G23" s="18">
        <f>Assumptions!G23</f>
        <v>7.3999999999999996E-2</v>
      </c>
      <c r="H23" s="18">
        <f>Assumptions!H23</f>
        <v>7.3999999999999996E-2</v>
      </c>
      <c r="I23" s="18">
        <f>Assumptions!I23</f>
        <v>7.3999999999999996E-2</v>
      </c>
      <c r="J23" s="18">
        <f>Assumptions!J23</f>
        <v>7.3999999999999996E-2</v>
      </c>
      <c r="K23" s="18">
        <f>Assumptions!K23</f>
        <v>7.3999999999999996E-2</v>
      </c>
    </row>
    <row r="24" spans="2:12" ht="5.0999999999999996" customHeight="1" x14ac:dyDescent="0.25">
      <c r="G24" s="10"/>
      <c r="H24" s="10"/>
      <c r="I24" s="10"/>
      <c r="J24" s="10"/>
      <c r="K24" s="10"/>
    </row>
    <row r="25" spans="2:12" x14ac:dyDescent="0.25">
      <c r="B25" s="1" t="s">
        <v>31</v>
      </c>
      <c r="C25" s="1"/>
      <c r="D25" s="1"/>
      <c r="E25" s="1"/>
      <c r="F25" s="1"/>
      <c r="G25" s="30">
        <f>G11*G21*G22</f>
        <v>56.328261909591156</v>
      </c>
      <c r="H25" s="30">
        <f t="shared" ref="H25:K25" si="5">H11*H21*H22</f>
        <v>57.834831384274686</v>
      </c>
      <c r="I25" s="30">
        <f t="shared" si="5"/>
        <v>59.956348245227865</v>
      </c>
      <c r="J25" s="30">
        <f t="shared" si="5"/>
        <v>61.80214380653419</v>
      </c>
      <c r="K25" s="30">
        <f t="shared" si="5"/>
        <v>63.594850632690999</v>
      </c>
    </row>
    <row r="26" spans="2:12" x14ac:dyDescent="0.25">
      <c r="B26" s="1" t="s">
        <v>35</v>
      </c>
      <c r="C26" s="1"/>
      <c r="D26" s="1"/>
      <c r="E26" s="1"/>
      <c r="F26" s="1"/>
      <c r="G26" s="30">
        <f>G11*G21*G23</f>
        <v>42.972076095976753</v>
      </c>
      <c r="H26" s="30">
        <f t="shared" ref="H26:K26" si="6">H11*H21*H23</f>
        <v>44.121417757075527</v>
      </c>
      <c r="I26" s="30">
        <f t="shared" si="6"/>
        <v>45.739894537596513</v>
      </c>
      <c r="J26" s="30">
        <f t="shared" si="6"/>
        <v>47.148027233850826</v>
      </c>
      <c r="K26" s="30">
        <f t="shared" si="6"/>
        <v>48.515659245558076</v>
      </c>
    </row>
    <row r="29" spans="2:12" ht="16.5" thickBot="1" x14ac:dyDescent="0.3">
      <c r="B29" s="36" t="s">
        <v>29</v>
      </c>
      <c r="C29" s="37"/>
      <c r="D29" s="37"/>
      <c r="E29" s="37"/>
      <c r="F29" s="37"/>
      <c r="G29" s="37"/>
      <c r="H29" s="37"/>
      <c r="I29" s="37"/>
      <c r="J29" s="37"/>
      <c r="K29" s="37"/>
      <c r="L29" s="37"/>
    </row>
    <row r="30" spans="2:12" ht="15.75" thickTop="1" x14ac:dyDescent="0.25"/>
    <row r="32" spans="2:12" x14ac:dyDescent="0.25">
      <c r="B32" s="1" t="s">
        <v>100</v>
      </c>
    </row>
    <row r="33" spans="2:16" x14ac:dyDescent="0.25">
      <c r="B33" s="1"/>
      <c r="G33" s="23">
        <f>Assumptions!$F$4+1</f>
        <v>2017</v>
      </c>
      <c r="H33" s="23">
        <f t="shared" ref="G33:K33" si="7">H5</f>
        <v>2018</v>
      </c>
      <c r="I33" s="23">
        <f t="shared" si="7"/>
        <v>2019</v>
      </c>
      <c r="J33" s="23">
        <f t="shared" si="7"/>
        <v>2020</v>
      </c>
      <c r="K33" s="23">
        <f t="shared" si="7"/>
        <v>2021</v>
      </c>
    </row>
    <row r="34" spans="2:16" ht="7.5" customHeight="1" x14ac:dyDescent="0.25">
      <c r="B34" s="1"/>
      <c r="G34" s="23"/>
      <c r="H34" s="23"/>
      <c r="I34" s="23"/>
      <c r="J34" s="23"/>
      <c r="K34" s="23"/>
    </row>
    <row r="35" spans="2:16" x14ac:dyDescent="0.25">
      <c r="B35" s="5" t="s">
        <v>99</v>
      </c>
      <c r="G35" s="2">
        <f>Assumptions!G45</f>
        <v>1290.4527356149176</v>
      </c>
      <c r="H35" s="2">
        <f>Assumptions!H45</f>
        <v>1324.9675002124784</v>
      </c>
      <c r="I35" s="2">
        <f>Assumptions!I45</f>
        <v>1373.5704065344298</v>
      </c>
      <c r="J35" s="2">
        <f>Assumptions!J45</f>
        <v>1415.8566736892139</v>
      </c>
      <c r="K35" s="2">
        <f>Assumptions!K45</f>
        <v>1456.9267040708132</v>
      </c>
    </row>
    <row r="36" spans="2:16" ht="7.5" customHeight="1" x14ac:dyDescent="0.25">
      <c r="B36" s="5"/>
      <c r="G36" s="2"/>
      <c r="H36" s="2"/>
      <c r="I36" s="2"/>
      <c r="J36" s="2"/>
      <c r="K36" s="2"/>
    </row>
    <row r="37" spans="2:16" x14ac:dyDescent="0.25">
      <c r="B37" s="1" t="s">
        <v>41</v>
      </c>
      <c r="C37" s="1"/>
      <c r="D37" s="1"/>
      <c r="E37" s="1"/>
      <c r="F37" s="1"/>
      <c r="G37" s="50">
        <f>G25</f>
        <v>56.328261909591156</v>
      </c>
      <c r="H37" s="50">
        <f>H25</f>
        <v>57.834831384274686</v>
      </c>
      <c r="I37" s="50">
        <f>I25</f>
        <v>59.956348245227865</v>
      </c>
      <c r="J37" s="50">
        <f>J25</f>
        <v>61.80214380653419</v>
      </c>
      <c r="K37" s="50">
        <f>K25</f>
        <v>63.594850632690999</v>
      </c>
    </row>
    <row r="38" spans="2:16" x14ac:dyDescent="0.25">
      <c r="B38" t="s">
        <v>25</v>
      </c>
      <c r="G38" s="2">
        <f>G37/(1-Assumptions!$F$5)*Assumptions!$F$5</f>
        <v>31.002376709930012</v>
      </c>
      <c r="H38" s="2">
        <f>H37/(1-Assumptions!$F$5)*Assumptions!$F$5</f>
        <v>31.831573862662811</v>
      </c>
      <c r="I38" s="2">
        <f>I37/(1-Assumptions!$F$5)*Assumptions!$F$5</f>
        <v>32.999230429544021</v>
      </c>
      <c r="J38" s="2">
        <f>J37/(1-Assumptions!$F$5)*Assumptions!$F$5</f>
        <v>34.015133412898663</v>
      </c>
      <c r="K38" s="2">
        <f>K37/(1-Assumptions!$F$5)*Assumptions!$F$5</f>
        <v>35.001817014891948</v>
      </c>
      <c r="O38" s="51"/>
      <c r="P38" s="51"/>
    </row>
    <row r="39" spans="2:16" x14ac:dyDescent="0.25">
      <c r="B39" t="s">
        <v>55</v>
      </c>
      <c r="G39" s="2">
        <f>G11*Assumptions!G28*(1-Assumptions!G19)*(1-Assumptions!$F$5)</f>
        <v>30.755037434726436</v>
      </c>
      <c r="H39" s="2">
        <f>H11*Assumptions!H28*(1-Assumptions!H19)*(1-Assumptions!$F$5)</f>
        <v>31.577619190688949</v>
      </c>
      <c r="I39" s="2">
        <f>I11*Assumptions!I28*(1-Assumptions!I19)*(1-Assumptions!$F$5)</f>
        <v>32.735960106333444</v>
      </c>
      <c r="J39" s="2">
        <f>J11*Assumptions!J28*(1-Assumptions!J19)*(1-Assumptions!$F$5)</f>
        <v>33.743758139866621</v>
      </c>
      <c r="K39" s="2">
        <f>K11*Assumptions!K28*(1-Assumptions!K19)*(1-Assumptions!$F$5)</f>
        <v>34.722569906443681</v>
      </c>
      <c r="O39" s="51"/>
      <c r="P39" s="51"/>
    </row>
    <row r="40" spans="2:16" x14ac:dyDescent="0.25">
      <c r="B40" s="1" t="s">
        <v>69</v>
      </c>
      <c r="C40" s="1"/>
      <c r="D40" s="1"/>
      <c r="E40" s="1"/>
      <c r="F40" s="1"/>
      <c r="G40" s="50">
        <f t="shared" ref="G40:K40" si="8">SUM(G37:G39)</f>
        <v>118.0856760542476</v>
      </c>
      <c r="H40" s="50">
        <f t="shared" si="8"/>
        <v>121.24402443762645</v>
      </c>
      <c r="I40" s="50">
        <f t="shared" si="8"/>
        <v>125.69153878110532</v>
      </c>
      <c r="J40" s="50">
        <f t="shared" si="8"/>
        <v>129.56103535929947</v>
      </c>
      <c r="K40" s="50">
        <f t="shared" si="8"/>
        <v>133.31923755402664</v>
      </c>
      <c r="O40" s="51"/>
      <c r="P40" s="51"/>
    </row>
    <row r="41" spans="2:16" x14ac:dyDescent="0.25">
      <c r="B41" t="s">
        <v>27</v>
      </c>
      <c r="G41" s="2">
        <f>Assumptions!G$57</f>
        <v>1</v>
      </c>
      <c r="H41" s="2">
        <f>Assumptions!H$57</f>
        <v>1</v>
      </c>
      <c r="I41" s="2">
        <f>Assumptions!I$57</f>
        <v>1</v>
      </c>
      <c r="J41" s="2">
        <f>Assumptions!J$57</f>
        <v>1</v>
      </c>
      <c r="K41" s="2">
        <f>Assumptions!K$57</f>
        <v>1</v>
      </c>
    </row>
    <row r="42" spans="2:16" x14ac:dyDescent="0.25">
      <c r="B42" t="s">
        <v>26</v>
      </c>
      <c r="G42" s="2">
        <f>Assumptions!G36-Assumptions!F36</f>
        <v>38.000000000000028</v>
      </c>
      <c r="H42" s="2">
        <f>Assumptions!H36-Assumptions!G36</f>
        <v>40.575000000000074</v>
      </c>
      <c r="I42" s="2">
        <f>Assumptions!I36-Assumptions!H36</f>
        <v>39.38749999999996</v>
      </c>
      <c r="J42" s="2">
        <f>Assumptions!J36-Assumptions!I36</f>
        <v>40.299999999999898</v>
      </c>
      <c r="K42" s="2">
        <f>Assumptions!K36-Assumptions!J36</f>
        <v>43.150000000000091</v>
      </c>
    </row>
    <row r="43" spans="2:16" x14ac:dyDescent="0.25">
      <c r="B43" s="1" t="s">
        <v>68</v>
      </c>
      <c r="C43" s="1"/>
      <c r="D43" s="1"/>
      <c r="E43" s="1"/>
      <c r="F43" s="1"/>
      <c r="G43" s="50">
        <f t="shared" ref="G43:K43" si="9">SUM(G40:G42)</f>
        <v>157.08567605424764</v>
      </c>
      <c r="H43" s="50">
        <f t="shared" si="9"/>
        <v>162.81902443762652</v>
      </c>
      <c r="I43" s="50">
        <f t="shared" si="9"/>
        <v>166.07903878110528</v>
      </c>
      <c r="J43" s="50">
        <f t="shared" si="9"/>
        <v>170.86103535929936</v>
      </c>
      <c r="K43" s="50">
        <f t="shared" si="9"/>
        <v>177.46923755402673</v>
      </c>
    </row>
    <row r="44" spans="2:16" x14ac:dyDescent="0.25">
      <c r="B44" t="s">
        <v>24</v>
      </c>
      <c r="G44" s="2">
        <f>Assumptions!G$59</f>
        <v>16</v>
      </c>
      <c r="H44" s="2">
        <f>Assumptions!H$59</f>
        <v>16.5</v>
      </c>
      <c r="I44" s="2">
        <f>Assumptions!I$59</f>
        <v>17</v>
      </c>
      <c r="J44" s="2">
        <f>Assumptions!J$59</f>
        <v>17.5</v>
      </c>
      <c r="K44" s="2">
        <f>Assumptions!K$59</f>
        <v>18</v>
      </c>
    </row>
    <row r="45" spans="2:16" x14ac:dyDescent="0.25">
      <c r="B45" t="s">
        <v>23</v>
      </c>
      <c r="G45" s="2">
        <f>Assumptions!G$56</f>
        <v>21</v>
      </c>
      <c r="H45" s="2">
        <f>Assumptions!H$56</f>
        <v>22</v>
      </c>
      <c r="I45" s="2">
        <f>Assumptions!I$56</f>
        <v>23</v>
      </c>
      <c r="J45" s="2">
        <f>Assumptions!J$56</f>
        <v>24</v>
      </c>
      <c r="K45" s="2">
        <f>Assumptions!K$56</f>
        <v>25</v>
      </c>
    </row>
    <row r="46" spans="2:16" x14ac:dyDescent="0.25">
      <c r="B46" s="1" t="s">
        <v>101</v>
      </c>
      <c r="C46" s="1"/>
      <c r="D46" s="1"/>
      <c r="E46" s="1"/>
      <c r="F46" s="1"/>
      <c r="G46" s="3">
        <f t="shared" ref="G46:K46" si="10">SUM(G43:G45)</f>
        <v>194.08567605424764</v>
      </c>
      <c r="H46" s="3">
        <f t="shared" si="10"/>
        <v>201.31902443762652</v>
      </c>
      <c r="I46" s="3">
        <f t="shared" si="10"/>
        <v>206.07903878110528</v>
      </c>
      <c r="J46" s="3">
        <f t="shared" si="10"/>
        <v>212.36103535929936</v>
      </c>
      <c r="K46" s="3">
        <f t="shared" si="10"/>
        <v>220.46923755402673</v>
      </c>
      <c r="O46" s="43"/>
      <c r="P46" s="43"/>
    </row>
    <row r="47" spans="2:16" x14ac:dyDescent="0.25">
      <c r="O47" s="43"/>
      <c r="P47" s="43"/>
    </row>
    <row r="48" spans="2:16" x14ac:dyDescent="0.25">
      <c r="O48" s="43"/>
      <c r="P48" s="43"/>
    </row>
    <row r="49" spans="2:11" x14ac:dyDescent="0.25">
      <c r="B49" s="1" t="s">
        <v>72</v>
      </c>
    </row>
    <row r="50" spans="2:11" x14ac:dyDescent="0.25">
      <c r="B50" s="1"/>
      <c r="G50" s="23">
        <f>Assumptions!$F$4+1</f>
        <v>2017</v>
      </c>
      <c r="H50" s="23">
        <f t="shared" ref="H50:K50" si="11">H5</f>
        <v>2018</v>
      </c>
      <c r="I50" s="23">
        <f t="shared" si="11"/>
        <v>2019</v>
      </c>
      <c r="J50" s="23">
        <f t="shared" si="11"/>
        <v>2020</v>
      </c>
      <c r="K50" s="23">
        <f t="shared" si="11"/>
        <v>2021</v>
      </c>
    </row>
    <row r="51" spans="2:11" ht="7.5" customHeight="1" x14ac:dyDescent="0.25">
      <c r="B51" s="1"/>
      <c r="G51" s="23"/>
      <c r="H51" s="23"/>
      <c r="I51" s="23"/>
      <c r="J51" s="23"/>
      <c r="K51" s="23"/>
    </row>
    <row r="52" spans="2:11" x14ac:dyDescent="0.25">
      <c r="B52" s="5" t="s">
        <v>98</v>
      </c>
      <c r="G52" s="2">
        <f ca="1">Assumptions!G79</f>
        <v>1266.2795465215754</v>
      </c>
      <c r="H52" s="2">
        <f ca="1">Assumptions!H79</f>
        <v>1290.4527356149176</v>
      </c>
      <c r="I52" s="2">
        <f ca="1">Assumptions!I79</f>
        <v>1324.9675002124784</v>
      </c>
      <c r="J52" s="2">
        <f ca="1">Assumptions!J79</f>
        <v>1373.5704065344298</v>
      </c>
      <c r="K52" s="2">
        <f ca="1">Assumptions!K79</f>
        <v>1373.5704065344298</v>
      </c>
    </row>
    <row r="53" spans="2:11" ht="7.5" customHeight="1" x14ac:dyDescent="0.25">
      <c r="B53" s="5"/>
      <c r="G53" s="2"/>
      <c r="H53" s="2"/>
      <c r="I53" s="2"/>
      <c r="J53" s="2"/>
      <c r="K53" s="2"/>
    </row>
    <row r="54" spans="2:11" x14ac:dyDescent="0.25">
      <c r="B54" s="1" t="s">
        <v>41</v>
      </c>
      <c r="C54" s="1"/>
      <c r="D54" s="1"/>
      <c r="E54" s="1"/>
      <c r="F54" s="1"/>
      <c r="G54" s="50">
        <f ca="1">G52*G21*G22</f>
        <v>55.273102205666767</v>
      </c>
      <c r="H54" s="50">
        <f t="shared" ref="H54:K54" ca="1" si="12">H52*H21*H22</f>
        <v>56.328261909591156</v>
      </c>
      <c r="I54" s="50">
        <f t="shared" ca="1" si="12"/>
        <v>57.834831384274686</v>
      </c>
      <c r="J54" s="50">
        <f t="shared" ca="1" si="12"/>
        <v>59.956348245227865</v>
      </c>
      <c r="K54" s="50">
        <f t="shared" ca="1" si="12"/>
        <v>59.956348245227865</v>
      </c>
    </row>
    <row r="55" spans="2:11" x14ac:dyDescent="0.25">
      <c r="B55" t="s">
        <v>25</v>
      </c>
      <c r="G55" s="2">
        <f ca="1">Assumptions!G82</f>
        <v>30</v>
      </c>
      <c r="H55" s="2">
        <f ca="1">Assumptions!H82</f>
        <v>31.002376709930012</v>
      </c>
      <c r="I55" s="2">
        <f ca="1">Assumptions!I82</f>
        <v>31.831573862662811</v>
      </c>
      <c r="J55" s="2">
        <f ca="1">Assumptions!J82</f>
        <v>32.999230429544021</v>
      </c>
      <c r="K55" s="2">
        <f ca="1">Assumptions!K82</f>
        <v>32.999230429544021</v>
      </c>
    </row>
    <row r="56" spans="2:11" x14ac:dyDescent="0.25">
      <c r="B56" t="s">
        <v>55</v>
      </c>
      <c r="G56" s="2">
        <f ca="1">G52*(1-Assumptions!G19)*Assumptions!G28*(1-Assumptions!$F$5)</f>
        <v>30.17892386236208</v>
      </c>
      <c r="H56" s="2">
        <f ca="1">H52*(1-Assumptions!H19)*Assumptions!H28*(1-Assumptions!$F$5)</f>
        <v>30.755037434726436</v>
      </c>
      <c r="I56" s="2">
        <f ca="1">I52*(1-Assumptions!I19)*Assumptions!I28*(1-Assumptions!$F$5)</f>
        <v>31.577619190688949</v>
      </c>
      <c r="J56" s="2">
        <f ca="1">J52*(1-Assumptions!J19)*Assumptions!J28*(1-Assumptions!$F$5)</f>
        <v>32.735960106333444</v>
      </c>
      <c r="K56" s="2">
        <f ca="1">K52*(1-Assumptions!K19)*Assumptions!K28*(1-Assumptions!$F$5)</f>
        <v>32.735960106333444</v>
      </c>
    </row>
    <row r="57" spans="2:11" x14ac:dyDescent="0.25">
      <c r="B57" s="1" t="s">
        <v>69</v>
      </c>
      <c r="C57" s="1"/>
      <c r="D57" s="1"/>
      <c r="E57" s="1"/>
      <c r="F57" s="1"/>
      <c r="G57" s="50">
        <f t="shared" ref="G57" ca="1" si="13">SUM(G54:G56)</f>
        <v>115.45202606802884</v>
      </c>
      <c r="H57" s="50">
        <f t="shared" ref="H57" ca="1" si="14">SUM(H54:H56)</f>
        <v>118.0856760542476</v>
      </c>
      <c r="I57" s="50">
        <f t="shared" ref="I57" ca="1" si="15">SUM(I54:I56)</f>
        <v>121.24402443762645</v>
      </c>
      <c r="J57" s="50">
        <f t="shared" ref="J57" ca="1" si="16">SUM(J54:J56)</f>
        <v>125.69153878110532</v>
      </c>
      <c r="K57" s="50">
        <f t="shared" ref="K57" ca="1" si="17">SUM(K54:K56)</f>
        <v>125.69153878110532</v>
      </c>
    </row>
    <row r="58" spans="2:11" x14ac:dyDescent="0.25">
      <c r="B58" t="s">
        <v>27</v>
      </c>
      <c r="G58" s="2">
        <f ca="1">Assumptions!G86</f>
        <v>1</v>
      </c>
      <c r="H58" s="2">
        <f ca="1">Assumptions!H86</f>
        <v>1</v>
      </c>
      <c r="I58" s="2">
        <f ca="1">Assumptions!I86</f>
        <v>1</v>
      </c>
      <c r="J58" s="2">
        <f ca="1">Assumptions!J86</f>
        <v>1</v>
      </c>
      <c r="K58" s="2">
        <f ca="1">Assumptions!K86</f>
        <v>1</v>
      </c>
    </row>
    <row r="59" spans="2:11" x14ac:dyDescent="0.25">
      <c r="B59" t="s">
        <v>26</v>
      </c>
      <c r="G59" s="2">
        <f ca="1">Assumptions!G80</f>
        <v>35</v>
      </c>
      <c r="H59" s="2">
        <f ca="1">Assumptions!H80</f>
        <v>38.000000000000028</v>
      </c>
      <c r="I59" s="2">
        <f ca="1">Assumptions!I80</f>
        <v>40.575000000000074</v>
      </c>
      <c r="J59" s="2">
        <f ca="1">Assumptions!J80</f>
        <v>39.38749999999996</v>
      </c>
      <c r="K59" s="2">
        <f ca="1">Assumptions!K80</f>
        <v>39.38749999999996</v>
      </c>
    </row>
    <row r="60" spans="2:11" x14ac:dyDescent="0.25">
      <c r="B60" s="1" t="s">
        <v>68</v>
      </c>
      <c r="C60" s="1"/>
      <c r="D60" s="1"/>
      <c r="E60" s="1"/>
      <c r="F60" s="1"/>
      <c r="G60" s="50">
        <f t="shared" ref="G60" ca="1" si="18">SUM(G57:G59)</f>
        <v>151.45202606802883</v>
      </c>
      <c r="H60" s="50">
        <f t="shared" ref="H60" ca="1" si="19">SUM(H57:H59)</f>
        <v>157.08567605424764</v>
      </c>
      <c r="I60" s="50">
        <f t="shared" ref="I60" ca="1" si="20">SUM(I57:I59)</f>
        <v>162.81902443762652</v>
      </c>
      <c r="J60" s="50">
        <f t="shared" ref="J60" ca="1" si="21">SUM(J57:J59)</f>
        <v>166.07903878110528</v>
      </c>
      <c r="K60" s="50">
        <f t="shared" ref="K60" ca="1" si="22">SUM(K57:K59)</f>
        <v>166.07903878110528</v>
      </c>
    </row>
    <row r="61" spans="2:11" x14ac:dyDescent="0.25">
      <c r="B61" t="s">
        <v>24</v>
      </c>
      <c r="G61" s="2">
        <f ca="1">Assumptions!G81</f>
        <v>12</v>
      </c>
      <c r="H61" s="2">
        <f ca="1">Assumptions!H81</f>
        <v>16</v>
      </c>
      <c r="I61" s="2">
        <f ca="1">Assumptions!I81</f>
        <v>16.5</v>
      </c>
      <c r="J61" s="2">
        <f ca="1">Assumptions!J81</f>
        <v>17</v>
      </c>
      <c r="K61" s="2">
        <f ca="1">Assumptions!K81</f>
        <v>17</v>
      </c>
    </row>
    <row r="62" spans="2:11" x14ac:dyDescent="0.25">
      <c r="B62" t="s">
        <v>23</v>
      </c>
      <c r="G62" s="2">
        <f ca="1">Assumptions!G85</f>
        <v>20</v>
      </c>
      <c r="H62" s="2">
        <f ca="1">Assumptions!H85</f>
        <v>20</v>
      </c>
      <c r="I62" s="2">
        <f ca="1">Assumptions!I85</f>
        <v>20</v>
      </c>
      <c r="J62" s="2">
        <f ca="1">Assumptions!J85</f>
        <v>20</v>
      </c>
      <c r="K62" s="2">
        <f ca="1">Assumptions!K85</f>
        <v>23</v>
      </c>
    </row>
    <row r="63" spans="2:11" x14ac:dyDescent="0.25">
      <c r="B63" s="1" t="s">
        <v>102</v>
      </c>
      <c r="C63" s="1"/>
      <c r="D63" s="1"/>
      <c r="E63" s="1"/>
      <c r="F63" s="1"/>
      <c r="G63" s="3">
        <f t="shared" ref="G63" ca="1" si="23">SUM(G60:G62)</f>
        <v>183.45202606802883</v>
      </c>
      <c r="H63" s="3">
        <f t="shared" ref="H63" ca="1" si="24">SUM(H60:H62)</f>
        <v>193.08567605424764</v>
      </c>
      <c r="I63" s="3">
        <f t="shared" ref="I63" ca="1" si="25">SUM(I60:I62)</f>
        <v>199.31902443762652</v>
      </c>
      <c r="J63" s="3">
        <f t="shared" ref="J63" ca="1" si="26">SUM(J60:J62)</f>
        <v>203.07903878110528</v>
      </c>
      <c r="K63" s="3">
        <f t="shared" ref="K63" ca="1" si="27">SUM(K60:K62)</f>
        <v>206.07903878110528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86"/>
  <sheetViews>
    <sheetView showGridLines="0" topLeftCell="A36" workbookViewId="0">
      <selection activeCell="G58" sqref="G58"/>
    </sheetView>
  </sheetViews>
  <sheetFormatPr defaultRowHeight="15" x14ac:dyDescent="0.25"/>
  <cols>
    <col min="2" max="2" width="3.28515625" style="42" customWidth="1"/>
    <col min="3" max="5" width="13.85546875" customWidth="1"/>
  </cols>
  <sheetData>
    <row r="2" spans="2:12" x14ac:dyDescent="0.25">
      <c r="B2" s="42" t="s">
        <v>56</v>
      </c>
      <c r="C2" s="41" t="s">
        <v>71</v>
      </c>
      <c r="D2" s="38"/>
      <c r="E2" s="38"/>
      <c r="F2" s="39"/>
      <c r="G2" s="40"/>
      <c r="H2" s="40"/>
      <c r="I2" s="40"/>
      <c r="J2" s="40"/>
      <c r="K2" s="40"/>
      <c r="L2" s="38"/>
    </row>
    <row r="4" spans="2:12" x14ac:dyDescent="0.25">
      <c r="C4" t="s">
        <v>73</v>
      </c>
      <c r="F4" s="77">
        <v>2016</v>
      </c>
    </row>
    <row r="5" spans="2:12" x14ac:dyDescent="0.25">
      <c r="C5" t="s">
        <v>60</v>
      </c>
      <c r="F5" s="72">
        <v>0.35499999999999998</v>
      </c>
      <c r="G5" s="24"/>
      <c r="H5" s="24"/>
    </row>
    <row r="6" spans="2:12" x14ac:dyDescent="0.25">
      <c r="C6" t="s">
        <v>115</v>
      </c>
      <c r="F6" s="71">
        <v>40</v>
      </c>
      <c r="G6" s="24"/>
      <c r="H6" s="24"/>
    </row>
    <row r="7" spans="2:12" x14ac:dyDescent="0.25">
      <c r="C7" t="s">
        <v>116</v>
      </c>
      <c r="F7" s="71">
        <v>15</v>
      </c>
      <c r="G7" s="24"/>
      <c r="H7" s="24"/>
    </row>
    <row r="8" spans="2:12" x14ac:dyDescent="0.25">
      <c r="C8" t="s">
        <v>61</v>
      </c>
      <c r="F8" s="71">
        <v>0.5</v>
      </c>
      <c r="G8" s="24"/>
      <c r="H8" s="24"/>
    </row>
    <row r="9" spans="2:12" x14ac:dyDescent="0.25">
      <c r="C9" t="s">
        <v>30</v>
      </c>
      <c r="F9" s="72">
        <v>0.02</v>
      </c>
      <c r="G9" s="24"/>
      <c r="H9" s="24"/>
    </row>
    <row r="10" spans="2:12" x14ac:dyDescent="0.25">
      <c r="C10" t="s">
        <v>110</v>
      </c>
      <c r="F10" s="71">
        <v>2</v>
      </c>
      <c r="G10" s="25"/>
      <c r="H10" s="26"/>
    </row>
    <row r="11" spans="2:12" x14ac:dyDescent="0.25">
      <c r="C11" t="s">
        <v>110</v>
      </c>
      <c r="F11" s="71">
        <v>1</v>
      </c>
      <c r="G11" s="25"/>
      <c r="H11" s="26"/>
    </row>
    <row r="12" spans="2:12" x14ac:dyDescent="0.25">
      <c r="C12" t="s">
        <v>83</v>
      </c>
      <c r="F12" s="71">
        <v>0.5</v>
      </c>
      <c r="G12" s="25"/>
      <c r="H12" s="26"/>
    </row>
    <row r="15" spans="2:12" x14ac:dyDescent="0.25">
      <c r="B15" s="42" t="s">
        <v>56</v>
      </c>
      <c r="C15" s="41" t="s">
        <v>67</v>
      </c>
      <c r="D15" s="38"/>
      <c r="E15" s="38"/>
      <c r="F15" s="39"/>
      <c r="G15" s="40"/>
      <c r="H15" s="40"/>
      <c r="I15" s="40"/>
      <c r="J15" s="40"/>
      <c r="K15" s="40"/>
      <c r="L15" s="38"/>
    </row>
    <row r="16" spans="2:12" x14ac:dyDescent="0.25">
      <c r="F16" s="27"/>
      <c r="G16" s="15"/>
      <c r="H16" s="15"/>
      <c r="I16" s="15"/>
      <c r="J16" s="15"/>
      <c r="K16" s="15"/>
    </row>
    <row r="17" spans="2:12" x14ac:dyDescent="0.25">
      <c r="F17" s="23">
        <f>$F$4</f>
        <v>2016</v>
      </c>
      <c r="G17" s="23">
        <f t="shared" ref="G17:K17" si="0">F17+1</f>
        <v>2017</v>
      </c>
      <c r="H17" s="23">
        <f t="shared" si="0"/>
        <v>2018</v>
      </c>
      <c r="I17" s="23">
        <f t="shared" si="0"/>
        <v>2019</v>
      </c>
      <c r="J17" s="23">
        <f t="shared" si="0"/>
        <v>2020</v>
      </c>
      <c r="K17" s="23">
        <f t="shared" si="0"/>
        <v>2021</v>
      </c>
    </row>
    <row r="19" spans="2:12" x14ac:dyDescent="0.25">
      <c r="C19" s="1" t="s">
        <v>53</v>
      </c>
      <c r="F19" s="72">
        <v>0.45</v>
      </c>
      <c r="G19" s="72">
        <f t="shared" ref="G19:K29" si="1">F19</f>
        <v>0.45</v>
      </c>
      <c r="H19" s="72">
        <f t="shared" si="1"/>
        <v>0.45</v>
      </c>
      <c r="I19" s="72">
        <f t="shared" si="1"/>
        <v>0.45</v>
      </c>
      <c r="J19" s="72">
        <f t="shared" si="1"/>
        <v>0.45</v>
      </c>
      <c r="K19" s="72">
        <f t="shared" si="1"/>
        <v>0.45</v>
      </c>
    </row>
    <row r="20" spans="2:12" x14ac:dyDescent="0.25">
      <c r="C20" s="1" t="s">
        <v>54</v>
      </c>
      <c r="F20" s="72">
        <v>0.45</v>
      </c>
      <c r="G20" s="72">
        <f t="shared" si="1"/>
        <v>0.45</v>
      </c>
      <c r="H20" s="72">
        <f t="shared" si="1"/>
        <v>0.45</v>
      </c>
      <c r="I20" s="72">
        <f t="shared" si="1"/>
        <v>0.45</v>
      </c>
      <c r="J20" s="72">
        <f t="shared" si="1"/>
        <v>0.45</v>
      </c>
      <c r="K20" s="72">
        <f t="shared" si="1"/>
        <v>0.45</v>
      </c>
    </row>
    <row r="21" spans="2:12" x14ac:dyDescent="0.25">
      <c r="C21" s="1"/>
      <c r="F21" s="27"/>
      <c r="G21" s="27"/>
      <c r="H21" s="15"/>
      <c r="I21" s="15"/>
      <c r="J21" s="15"/>
      <c r="K21" s="15"/>
    </row>
    <row r="22" spans="2:12" x14ac:dyDescent="0.25">
      <c r="C22" s="1" t="s">
        <v>39</v>
      </c>
      <c r="F22" s="72">
        <v>9.7000000000000003E-2</v>
      </c>
      <c r="G22" s="72">
        <f t="shared" si="1"/>
        <v>9.7000000000000003E-2</v>
      </c>
      <c r="H22" s="72">
        <f t="shared" si="1"/>
        <v>9.7000000000000003E-2</v>
      </c>
      <c r="I22" s="72">
        <f t="shared" si="1"/>
        <v>9.7000000000000003E-2</v>
      </c>
      <c r="J22" s="72">
        <f t="shared" si="1"/>
        <v>9.7000000000000003E-2</v>
      </c>
      <c r="K22" s="72">
        <f t="shared" si="1"/>
        <v>9.7000000000000003E-2</v>
      </c>
    </row>
    <row r="23" spans="2:12" x14ac:dyDescent="0.25">
      <c r="C23" s="1" t="s">
        <v>38</v>
      </c>
      <c r="F23" s="72">
        <v>7.3999999999999996E-2</v>
      </c>
      <c r="G23" s="72">
        <f>F23</f>
        <v>7.3999999999999996E-2</v>
      </c>
      <c r="H23" s="72">
        <f>G23</f>
        <v>7.3999999999999996E-2</v>
      </c>
      <c r="I23" s="72">
        <f>H23</f>
        <v>7.3999999999999996E-2</v>
      </c>
      <c r="J23" s="72">
        <f>I23</f>
        <v>7.3999999999999996E-2</v>
      </c>
      <c r="K23" s="72">
        <f>J23</f>
        <v>7.3999999999999996E-2</v>
      </c>
    </row>
    <row r="24" spans="2:12" x14ac:dyDescent="0.25">
      <c r="C24" s="1"/>
      <c r="F24" s="27"/>
      <c r="G24" s="15"/>
      <c r="H24" s="15"/>
      <c r="I24" s="15"/>
      <c r="J24" s="15"/>
      <c r="K24" s="15"/>
    </row>
    <row r="25" spans="2:12" x14ac:dyDescent="0.25">
      <c r="C25" s="1" t="s">
        <v>36</v>
      </c>
      <c r="F25" s="72">
        <v>8.0600000000000005E-2</v>
      </c>
      <c r="G25" s="72">
        <f t="shared" si="1"/>
        <v>8.0600000000000005E-2</v>
      </c>
      <c r="H25" s="72">
        <f t="shared" si="1"/>
        <v>8.0600000000000005E-2</v>
      </c>
      <c r="I25" s="72">
        <f t="shared" si="1"/>
        <v>8.0600000000000005E-2</v>
      </c>
      <c r="J25" s="72">
        <f t="shared" si="1"/>
        <v>8.0600000000000005E-2</v>
      </c>
      <c r="K25" s="72">
        <f t="shared" si="1"/>
        <v>8.0600000000000005E-2</v>
      </c>
    </row>
    <row r="26" spans="2:12" x14ac:dyDescent="0.25">
      <c r="C26" s="1" t="s">
        <v>37</v>
      </c>
      <c r="F26" s="72">
        <v>5.8400000000000001E-2</v>
      </c>
      <c r="G26" s="72">
        <f>F26</f>
        <v>5.8400000000000001E-2</v>
      </c>
      <c r="H26" s="72">
        <f>G26</f>
        <v>5.8400000000000001E-2</v>
      </c>
      <c r="I26" s="72">
        <f>H26</f>
        <v>5.8400000000000001E-2</v>
      </c>
      <c r="J26" s="72">
        <f>I26</f>
        <v>5.8400000000000001E-2</v>
      </c>
      <c r="K26" s="72">
        <f>J26</f>
        <v>5.8400000000000001E-2</v>
      </c>
    </row>
    <row r="27" spans="2:12" x14ac:dyDescent="0.25">
      <c r="C27" s="1"/>
      <c r="F27" s="28"/>
      <c r="G27" s="17"/>
      <c r="H27" s="17"/>
      <c r="I27" s="17"/>
      <c r="J27" s="17"/>
      <c r="K27" s="17"/>
    </row>
    <row r="28" spans="2:12" x14ac:dyDescent="0.25">
      <c r="C28" s="1" t="s">
        <v>48</v>
      </c>
      <c r="F28" s="15">
        <f t="shared" ref="F28:K28" si="2">(F25-F19*F22)/(1-F19)</f>
        <v>6.718181818181819E-2</v>
      </c>
      <c r="G28" s="15">
        <f t="shared" si="2"/>
        <v>6.718181818181819E-2</v>
      </c>
      <c r="H28" s="15">
        <f t="shared" si="2"/>
        <v>6.718181818181819E-2</v>
      </c>
      <c r="I28" s="15">
        <f t="shared" si="2"/>
        <v>6.718181818181819E-2</v>
      </c>
      <c r="J28" s="15">
        <f t="shared" si="2"/>
        <v>6.718181818181819E-2</v>
      </c>
      <c r="K28" s="15">
        <f t="shared" si="2"/>
        <v>6.718181818181819E-2</v>
      </c>
    </row>
    <row r="29" spans="2:12" x14ac:dyDescent="0.25">
      <c r="C29" s="1" t="s">
        <v>49</v>
      </c>
      <c r="F29" s="72">
        <v>4.6899999999999997E-2</v>
      </c>
      <c r="G29" s="72">
        <f t="shared" si="1"/>
        <v>4.6899999999999997E-2</v>
      </c>
      <c r="H29" s="72">
        <f t="shared" si="1"/>
        <v>4.6899999999999997E-2</v>
      </c>
      <c r="I29" s="72">
        <f t="shared" si="1"/>
        <v>4.6899999999999997E-2</v>
      </c>
      <c r="J29" s="72">
        <f t="shared" si="1"/>
        <v>4.6899999999999997E-2</v>
      </c>
      <c r="K29" s="72">
        <f t="shared" si="1"/>
        <v>4.6899999999999997E-2</v>
      </c>
    </row>
    <row r="30" spans="2:12" x14ac:dyDescent="0.25">
      <c r="F30" s="27"/>
      <c r="G30" s="15"/>
      <c r="H30" s="15"/>
      <c r="I30" s="15"/>
      <c r="J30" s="15"/>
      <c r="K30" s="15"/>
    </row>
    <row r="31" spans="2:12" x14ac:dyDescent="0.25">
      <c r="B31" s="42" t="s">
        <v>56</v>
      </c>
      <c r="C31" s="41" t="s">
        <v>58</v>
      </c>
      <c r="D31" s="38"/>
      <c r="E31" s="38"/>
      <c r="F31" s="39"/>
      <c r="G31" s="40"/>
      <c r="H31" s="40"/>
      <c r="I31" s="40"/>
      <c r="J31" s="40"/>
      <c r="K31" s="40"/>
      <c r="L31" s="38"/>
    </row>
    <row r="32" spans="2:12" x14ac:dyDescent="0.25">
      <c r="F32" s="27"/>
      <c r="G32" s="15"/>
      <c r="H32" s="15"/>
      <c r="I32" s="15"/>
      <c r="J32" s="15"/>
      <c r="K32" s="15"/>
    </row>
    <row r="33" spans="3:11" x14ac:dyDescent="0.25">
      <c r="F33" s="23">
        <f>$F$4</f>
        <v>2016</v>
      </c>
      <c r="G33" s="23">
        <f t="shared" ref="G33:K33" si="3">F33+1</f>
        <v>2017</v>
      </c>
      <c r="H33" s="23">
        <f t="shared" si="3"/>
        <v>2018</v>
      </c>
      <c r="I33" s="23">
        <f t="shared" si="3"/>
        <v>2019</v>
      </c>
      <c r="J33" s="23">
        <f t="shared" si="3"/>
        <v>2020</v>
      </c>
      <c r="K33" s="23">
        <f t="shared" si="3"/>
        <v>2021</v>
      </c>
    </row>
    <row r="35" spans="3:11" x14ac:dyDescent="0.25">
      <c r="C35" s="62" t="s">
        <v>84</v>
      </c>
      <c r="D35" s="62"/>
      <c r="E35" s="62"/>
      <c r="F35" s="46">
        <f>'Plant in Service'!C58</f>
        <v>1470</v>
      </c>
      <c r="G35" s="46">
        <f>'Plant in Service'!D58</f>
        <v>1570</v>
      </c>
      <c r="H35" s="46">
        <f>'Plant in Service'!E58</f>
        <v>1680</v>
      </c>
      <c r="I35" s="46">
        <f>'Plant in Service'!F58</f>
        <v>1801</v>
      </c>
      <c r="J35" s="46">
        <f>'Plant in Service'!G58</f>
        <v>1915</v>
      </c>
      <c r="K35" s="46">
        <f>'Plant in Service'!H58</f>
        <v>2029</v>
      </c>
    </row>
    <row r="36" spans="3:11" x14ac:dyDescent="0.25">
      <c r="C36" s="62" t="s">
        <v>94</v>
      </c>
      <c r="D36" s="62"/>
      <c r="E36" s="62"/>
      <c r="F36" s="46">
        <f>'Plant in Service'!L58</f>
        <v>159.99999999999997</v>
      </c>
      <c r="G36" s="46">
        <f>'Plant in Service'!M58</f>
        <v>198</v>
      </c>
      <c r="H36" s="46">
        <f>'Plant in Service'!N58</f>
        <v>238.57500000000007</v>
      </c>
      <c r="I36" s="46">
        <f>'Plant in Service'!O58</f>
        <v>277.96250000000003</v>
      </c>
      <c r="J36" s="46">
        <f>'Plant in Service'!P58</f>
        <v>318.26249999999993</v>
      </c>
      <c r="K36" s="46">
        <f>'Plant in Service'!Q58</f>
        <v>361.41250000000002</v>
      </c>
    </row>
    <row r="37" spans="3:11" x14ac:dyDescent="0.25">
      <c r="C37" s="62" t="s">
        <v>82</v>
      </c>
      <c r="D37" s="62"/>
      <c r="E37" s="62"/>
      <c r="F37" s="63">
        <f>F35-F36</f>
        <v>1310</v>
      </c>
      <c r="G37" s="63">
        <f>G35-G36</f>
        <v>1372</v>
      </c>
      <c r="H37" s="63">
        <f>H35-H36</f>
        <v>1441.425</v>
      </c>
      <c r="I37" s="63">
        <f>I35-I36</f>
        <v>1523.0374999999999</v>
      </c>
      <c r="J37" s="63">
        <f>J35-J36</f>
        <v>1596.7375000000002</v>
      </c>
      <c r="K37" s="63">
        <f>K35-K36</f>
        <v>1667.5875000000001</v>
      </c>
    </row>
    <row r="38" spans="3:11" x14ac:dyDescent="0.25">
      <c r="C38" s="62" t="s">
        <v>13</v>
      </c>
      <c r="D38" s="62"/>
      <c r="E38" s="62"/>
      <c r="F38" s="46">
        <f>'Plant in Service'!AN15</f>
        <v>100.72045347842464</v>
      </c>
      <c r="G38" s="46">
        <f>'Plant in Service'!AO15</f>
        <v>138.54726438508246</v>
      </c>
      <c r="H38" s="46">
        <f>'Plant in Service'!AP15</f>
        <v>173.45749978752158</v>
      </c>
      <c r="I38" s="46">
        <f>'Plant in Service'!AQ15</f>
        <v>206.4670934655702</v>
      </c>
      <c r="J38" s="46">
        <f>'Plant in Service'!AR15</f>
        <v>237.88082631078623</v>
      </c>
      <c r="K38" s="46">
        <f>'Plant in Service'!AS15</f>
        <v>267.66079592918697</v>
      </c>
    </row>
    <row r="39" spans="3:11" x14ac:dyDescent="0.25">
      <c r="C39" s="62" t="s">
        <v>95</v>
      </c>
      <c r="D39" s="62"/>
      <c r="E39" s="62"/>
      <c r="F39" s="71">
        <v>57</v>
      </c>
      <c r="G39" s="71">
        <v>57</v>
      </c>
      <c r="H39" s="71">
        <v>57</v>
      </c>
      <c r="I39" s="71">
        <v>57</v>
      </c>
      <c r="J39" s="71">
        <v>57</v>
      </c>
      <c r="K39" s="71">
        <v>57</v>
      </c>
    </row>
    <row r="40" spans="3:11" x14ac:dyDescent="0.25">
      <c r="F40" s="2"/>
      <c r="G40" s="2"/>
      <c r="H40" s="2"/>
      <c r="I40" s="2"/>
      <c r="J40" s="2"/>
      <c r="K40" s="2"/>
    </row>
    <row r="41" spans="3:11" x14ac:dyDescent="0.25">
      <c r="C41" s="1" t="s">
        <v>1</v>
      </c>
      <c r="F41" s="2"/>
      <c r="G41" s="2"/>
      <c r="H41" s="2"/>
      <c r="I41" s="2"/>
      <c r="J41" s="2"/>
      <c r="K41" s="2"/>
    </row>
    <row r="42" spans="3:11" x14ac:dyDescent="0.25">
      <c r="C42" t="s">
        <v>108</v>
      </c>
      <c r="F42" s="48">
        <v>0</v>
      </c>
      <c r="G42" s="2">
        <f>F45</f>
        <v>1266.2795465215754</v>
      </c>
      <c r="H42" s="2">
        <f t="shared" ref="H42:K42" si="4">G45</f>
        <v>1290.4527356149176</v>
      </c>
      <c r="I42" s="2">
        <f t="shared" si="4"/>
        <v>1324.9675002124784</v>
      </c>
      <c r="J42" s="2">
        <f t="shared" si="4"/>
        <v>1373.5704065344298</v>
      </c>
      <c r="K42" s="2">
        <f t="shared" si="4"/>
        <v>1415.8566736892139</v>
      </c>
    </row>
    <row r="43" spans="3:11" x14ac:dyDescent="0.25">
      <c r="C43" s="61" t="s">
        <v>88</v>
      </c>
      <c r="F43" s="48">
        <v>0</v>
      </c>
      <c r="G43" s="2">
        <f>IF(G45&gt;G42,G45-G42,)</f>
        <v>24.173189093342216</v>
      </c>
      <c r="H43" s="2">
        <f t="shared" ref="H43:K43" si="5">IF(H45&gt;H42,H45-H42,)</f>
        <v>34.51476459756077</v>
      </c>
      <c r="I43" s="2">
        <f t="shared" si="5"/>
        <v>48.602906321951423</v>
      </c>
      <c r="J43" s="2">
        <f t="shared" si="5"/>
        <v>42.286267154784127</v>
      </c>
      <c r="K43" s="2">
        <f t="shared" si="5"/>
        <v>41.070030381599281</v>
      </c>
    </row>
    <row r="44" spans="3:11" x14ac:dyDescent="0.25">
      <c r="C44" s="21" t="s">
        <v>92</v>
      </c>
      <c r="F44" s="47">
        <v>0</v>
      </c>
      <c r="G44" s="47">
        <f>IF(G45&lt;=G42,G45-G42,)</f>
        <v>0</v>
      </c>
      <c r="H44" s="47">
        <f t="shared" ref="H44:K44" si="6">IF(H45&lt;=H42,H45-H42,)</f>
        <v>0</v>
      </c>
      <c r="I44" s="47">
        <f t="shared" si="6"/>
        <v>0</v>
      </c>
      <c r="J44" s="47">
        <f t="shared" si="6"/>
        <v>0</v>
      </c>
      <c r="K44" s="47">
        <f t="shared" si="6"/>
        <v>0</v>
      </c>
    </row>
    <row r="45" spans="3:11" x14ac:dyDescent="0.25">
      <c r="C45" s="1" t="s">
        <v>109</v>
      </c>
      <c r="D45" s="1"/>
      <c r="E45" s="1"/>
      <c r="F45" s="3">
        <f>F35-F36-F38+F39</f>
        <v>1266.2795465215754</v>
      </c>
      <c r="G45" s="3">
        <f>G35-G36-G38+G39</f>
        <v>1290.4527356149176</v>
      </c>
      <c r="H45" s="3">
        <f>H35-H36-H38+H39</f>
        <v>1324.9675002124784</v>
      </c>
      <c r="I45" s="3">
        <f>I35-I36-I38+I39</f>
        <v>1373.5704065344298</v>
      </c>
      <c r="J45" s="3">
        <f>J35-J36-J38+J39</f>
        <v>1415.8566736892139</v>
      </c>
      <c r="K45" s="3">
        <f>K35-K36-K38+K39</f>
        <v>1456.9267040708132</v>
      </c>
    </row>
    <row r="47" spans="3:11" x14ac:dyDescent="0.25">
      <c r="C47" s="1" t="s">
        <v>106</v>
      </c>
      <c r="F47" s="50">
        <f>F45*(1-F19)</f>
        <v>696.45375058686648</v>
      </c>
      <c r="G47" s="50">
        <f>G45*(1-G19)</f>
        <v>709.7490045882048</v>
      </c>
      <c r="H47" s="50">
        <f>H45*(1-H19)</f>
        <v>728.73212511686313</v>
      </c>
      <c r="I47" s="50">
        <f>I45*(1-I19)</f>
        <v>755.46372359393649</v>
      </c>
      <c r="J47" s="50">
        <f>J45*(1-J19)</f>
        <v>778.72117052906776</v>
      </c>
      <c r="K47" s="50">
        <f>K45*(1-K19)</f>
        <v>801.30968723894739</v>
      </c>
    </row>
    <row r="48" spans="3:11" x14ac:dyDescent="0.25">
      <c r="C48" s="1" t="s">
        <v>105</v>
      </c>
      <c r="F48" s="50">
        <f>F45*F19</f>
        <v>569.82579593470894</v>
      </c>
      <c r="G48" s="50">
        <f>G45*G19</f>
        <v>580.70373102671294</v>
      </c>
      <c r="H48" s="50">
        <f>H45*H19</f>
        <v>596.23537509561527</v>
      </c>
      <c r="I48" s="50">
        <f>I45*I19</f>
        <v>618.10668294049344</v>
      </c>
      <c r="J48" s="50">
        <f>J45*J19</f>
        <v>637.1355031601463</v>
      </c>
      <c r="K48" s="50">
        <f>K45*K19</f>
        <v>655.61701683186595</v>
      </c>
    </row>
    <row r="50" spans="2:12" x14ac:dyDescent="0.25">
      <c r="C50" s="1" t="s">
        <v>107</v>
      </c>
      <c r="G50" s="71">
        <v>100</v>
      </c>
      <c r="H50" s="71">
        <v>110</v>
      </c>
      <c r="I50" s="71">
        <v>120</v>
      </c>
      <c r="J50" s="71">
        <v>130</v>
      </c>
      <c r="K50" s="71">
        <v>140</v>
      </c>
    </row>
    <row r="52" spans="2:12" x14ac:dyDescent="0.25">
      <c r="B52" s="42" t="s">
        <v>56</v>
      </c>
      <c r="C52" s="41" t="s">
        <v>59</v>
      </c>
      <c r="D52" s="38"/>
      <c r="E52" s="38"/>
      <c r="F52" s="39"/>
      <c r="G52" s="40"/>
      <c r="H52" s="40"/>
      <c r="I52" s="40"/>
      <c r="J52" s="40"/>
      <c r="K52" s="40"/>
      <c r="L52" s="38"/>
    </row>
    <row r="54" spans="2:12" x14ac:dyDescent="0.25">
      <c r="F54" s="23">
        <f>$F$4</f>
        <v>2016</v>
      </c>
      <c r="G54" s="23">
        <f t="shared" ref="G54:K54" si="7">F54+1</f>
        <v>2017</v>
      </c>
      <c r="H54" s="23">
        <f t="shared" si="7"/>
        <v>2018</v>
      </c>
      <c r="I54" s="23">
        <f t="shared" si="7"/>
        <v>2019</v>
      </c>
      <c r="J54" s="23">
        <f t="shared" si="7"/>
        <v>2020</v>
      </c>
      <c r="K54" s="23">
        <f t="shared" si="7"/>
        <v>2021</v>
      </c>
    </row>
    <row r="56" spans="2:12" x14ac:dyDescent="0.25">
      <c r="C56" s="5" t="s">
        <v>50</v>
      </c>
      <c r="D56" s="1"/>
      <c r="E56" s="1"/>
      <c r="F56" s="73">
        <v>20</v>
      </c>
      <c r="G56" s="73">
        <v>21</v>
      </c>
      <c r="H56" s="73">
        <v>22</v>
      </c>
      <c r="I56" s="73">
        <v>23</v>
      </c>
      <c r="J56" s="73">
        <v>24</v>
      </c>
      <c r="K56" s="73">
        <v>25</v>
      </c>
    </row>
    <row r="57" spans="2:12" x14ac:dyDescent="0.25">
      <c r="C57" s="5" t="s">
        <v>27</v>
      </c>
      <c r="D57" s="1"/>
      <c r="E57" s="1"/>
      <c r="F57" s="73">
        <v>1</v>
      </c>
      <c r="G57" s="73">
        <v>1</v>
      </c>
      <c r="H57" s="73">
        <v>1</v>
      </c>
      <c r="I57" s="73">
        <v>1</v>
      </c>
      <c r="J57" s="73">
        <v>1</v>
      </c>
      <c r="K57" s="73">
        <v>1</v>
      </c>
    </row>
    <row r="58" spans="2:12" x14ac:dyDescent="0.25">
      <c r="C58" s="5" t="s">
        <v>93</v>
      </c>
      <c r="D58" s="1"/>
      <c r="E58" s="1"/>
      <c r="F58" s="73">
        <v>35</v>
      </c>
      <c r="G58" s="74">
        <f>G36-F36</f>
        <v>38.000000000000028</v>
      </c>
      <c r="H58" s="74">
        <f>H36-G36</f>
        <v>40.575000000000074</v>
      </c>
      <c r="I58" s="74">
        <f>I36-H36</f>
        <v>39.38749999999996</v>
      </c>
      <c r="J58" s="74">
        <f>J36-I36</f>
        <v>40.299999999999898</v>
      </c>
      <c r="K58" s="74">
        <f>K36-J36</f>
        <v>43.150000000000091</v>
      </c>
    </row>
    <row r="59" spans="2:12" x14ac:dyDescent="0.25">
      <c r="C59" s="5" t="s">
        <v>51</v>
      </c>
      <c r="D59" s="1"/>
      <c r="E59" s="1"/>
      <c r="F59" s="73">
        <v>12</v>
      </c>
      <c r="G59" s="73">
        <v>16</v>
      </c>
      <c r="H59" s="73">
        <v>16.5</v>
      </c>
      <c r="I59" s="73">
        <v>17</v>
      </c>
      <c r="J59" s="73">
        <v>17.5</v>
      </c>
      <c r="K59" s="73">
        <v>18</v>
      </c>
    </row>
    <row r="60" spans="2:12" x14ac:dyDescent="0.25">
      <c r="C60" s="5" t="s">
        <v>52</v>
      </c>
      <c r="D60" s="1"/>
      <c r="E60" s="1"/>
      <c r="F60" s="73">
        <v>30</v>
      </c>
      <c r="G60" s="87">
        <f>'Rate Base &amp; Revenue Req'!G38</f>
        <v>31.002376709930012</v>
      </c>
      <c r="H60" s="87">
        <f>'Rate Base &amp; Revenue Req'!H38</f>
        <v>31.831573862662811</v>
      </c>
      <c r="I60" s="87">
        <f>'Rate Base &amp; Revenue Req'!I38</f>
        <v>32.999230429544021</v>
      </c>
      <c r="J60" s="87">
        <f>'Rate Base &amp; Revenue Req'!J38</f>
        <v>34.015133412898663</v>
      </c>
      <c r="K60" s="87">
        <f>'Rate Base &amp; Revenue Req'!K38</f>
        <v>35.001817014891948</v>
      </c>
    </row>
    <row r="62" spans="2:12" x14ac:dyDescent="0.25">
      <c r="C62" s="5" t="s">
        <v>107</v>
      </c>
      <c r="G62" s="71">
        <v>100</v>
      </c>
      <c r="H62" s="71">
        <v>110</v>
      </c>
      <c r="I62" s="71">
        <v>120</v>
      </c>
      <c r="J62" s="71">
        <v>130</v>
      </c>
      <c r="K62" s="71">
        <v>140</v>
      </c>
    </row>
    <row r="63" spans="2:12" x14ac:dyDescent="0.25">
      <c r="C63" s="5"/>
    </row>
    <row r="64" spans="2:12" x14ac:dyDescent="0.25">
      <c r="C64" s="22" t="s">
        <v>74</v>
      </c>
      <c r="G64" s="31">
        <f>G62*G20*G22*$F$12</f>
        <v>2.1825000000000001</v>
      </c>
      <c r="H64" s="31">
        <f>H62*H20*H22*$F$12</f>
        <v>2.4007499999999999</v>
      </c>
      <c r="I64" s="31">
        <f>I62*I20*I22*$F$12</f>
        <v>2.6190000000000002</v>
      </c>
      <c r="J64" s="31">
        <f>J62*J20*J22*$F$12</f>
        <v>2.83725</v>
      </c>
      <c r="K64" s="31">
        <f>K62*K20*K22*$F$12</f>
        <v>3.0554999999999999</v>
      </c>
    </row>
    <row r="65" spans="2:12" x14ac:dyDescent="0.25">
      <c r="C65" s="22" t="s">
        <v>76</v>
      </c>
      <c r="G65" s="31">
        <f>G62*(1-G20)*(1-$F$5)*G29*$F$12</f>
        <v>0.83188875000000018</v>
      </c>
      <c r="H65" s="31">
        <f>H62*(1-H20)*(1-$F$5)*H29*$F$12</f>
        <v>0.91507762500000012</v>
      </c>
      <c r="I65" s="31">
        <f>I62*(1-I20)*(1-$F$5)*I29*$F$12</f>
        <v>0.99826649999999995</v>
      </c>
      <c r="J65" s="31">
        <f>J62*(1-J20)*(1-$F$5)*J29*$F$12</f>
        <v>1.081455375</v>
      </c>
      <c r="K65" s="31">
        <f>K62*(1-K20)*(1-$F$5)*K29*$F$12</f>
        <v>1.1646442499999998</v>
      </c>
    </row>
    <row r="66" spans="2:12" x14ac:dyDescent="0.25">
      <c r="C66" s="1" t="s">
        <v>75</v>
      </c>
      <c r="D66" s="1"/>
      <c r="E66" s="1"/>
      <c r="G66" s="3">
        <f>SUM(G64:G65)</f>
        <v>3.0143887500000002</v>
      </c>
      <c r="H66" s="3">
        <f t="shared" ref="H66:K66" si="8">SUM(H64:H65)</f>
        <v>3.3158276249999998</v>
      </c>
      <c r="I66" s="3">
        <f t="shared" si="8"/>
        <v>3.6172665000000004</v>
      </c>
      <c r="J66" s="3">
        <f t="shared" si="8"/>
        <v>3.918705375</v>
      </c>
      <c r="K66" s="3">
        <f t="shared" si="8"/>
        <v>4.2201442499999997</v>
      </c>
    </row>
    <row r="70" spans="2:12" x14ac:dyDescent="0.25">
      <c r="B70" s="42" t="s">
        <v>56</v>
      </c>
      <c r="C70" s="41" t="s">
        <v>66</v>
      </c>
      <c r="D70" s="38"/>
      <c r="E70" s="38"/>
      <c r="F70" s="39"/>
      <c r="G70" s="40"/>
      <c r="H70" s="40"/>
      <c r="I70" s="40"/>
      <c r="J70" s="40"/>
      <c r="K70" s="40"/>
      <c r="L70" s="38"/>
    </row>
    <row r="72" spans="2:12" x14ac:dyDescent="0.25">
      <c r="F72" s="23">
        <f>$F$4</f>
        <v>2016</v>
      </c>
      <c r="G72" s="23">
        <f t="shared" ref="G72:K72" si="9">F72+1</f>
        <v>2017</v>
      </c>
      <c r="H72" s="23">
        <f t="shared" si="9"/>
        <v>2018</v>
      </c>
      <c r="I72" s="23">
        <f t="shared" si="9"/>
        <v>2019</v>
      </c>
      <c r="J72" s="23">
        <f t="shared" si="9"/>
        <v>2020</v>
      </c>
      <c r="K72" s="23">
        <f t="shared" si="9"/>
        <v>2021</v>
      </c>
    </row>
    <row r="75" spans="2:12" x14ac:dyDescent="0.25">
      <c r="C75" t="s">
        <v>111</v>
      </c>
      <c r="F75" s="49">
        <v>0</v>
      </c>
      <c r="G75" s="49">
        <v>0</v>
      </c>
      <c r="H75" s="49">
        <v>0</v>
      </c>
      <c r="I75" s="49">
        <v>0</v>
      </c>
      <c r="J75" s="49">
        <v>0</v>
      </c>
      <c r="K75" s="49">
        <v>1</v>
      </c>
    </row>
    <row r="76" spans="2:12" x14ac:dyDescent="0.25">
      <c r="C76" t="s">
        <v>112</v>
      </c>
      <c r="F76" s="75"/>
      <c r="G76" s="75">
        <f t="shared" ref="G76:I76" si="10">IF(G75=1,$F$10,$F$11)</f>
        <v>1</v>
      </c>
      <c r="H76" s="75">
        <f t="shared" si="10"/>
        <v>1</v>
      </c>
      <c r="I76" s="75">
        <f t="shared" si="10"/>
        <v>1</v>
      </c>
      <c r="J76" s="75">
        <f>IF(J75=1,$F$10,$F$11)</f>
        <v>1</v>
      </c>
      <c r="K76" s="75">
        <f>IF(K75=1,$F$10,$F$11)</f>
        <v>2</v>
      </c>
    </row>
    <row r="77" spans="2:12" x14ac:dyDescent="0.25">
      <c r="F77" s="75"/>
      <c r="G77" s="75"/>
      <c r="H77" s="75"/>
      <c r="I77" s="75"/>
      <c r="J77" s="75"/>
      <c r="K77" s="75"/>
    </row>
    <row r="78" spans="2:12" x14ac:dyDescent="0.25">
      <c r="C78" s="1" t="s">
        <v>114</v>
      </c>
      <c r="F78" s="75"/>
      <c r="G78" s="75"/>
      <c r="H78" s="75"/>
      <c r="I78" s="75"/>
      <c r="J78" s="75"/>
      <c r="K78" s="75"/>
    </row>
    <row r="79" spans="2:12" x14ac:dyDescent="0.25">
      <c r="C79" t="s">
        <v>1</v>
      </c>
      <c r="G79" s="78">
        <f ca="1">OFFSET(G45,0,-G76)</f>
        <v>1266.2795465215754</v>
      </c>
      <c r="H79" s="78">
        <f ca="1">OFFSET(H45,0,-H76)</f>
        <v>1290.4527356149176</v>
      </c>
      <c r="I79" s="78">
        <f ca="1">OFFSET(I45,0,-I76)</f>
        <v>1324.9675002124784</v>
      </c>
      <c r="J79" s="78">
        <f ca="1">OFFSET(J45,0,-J76)</f>
        <v>1373.5704065344298</v>
      </c>
      <c r="K79" s="78">
        <f ca="1">OFFSET(K45,0,-K76)</f>
        <v>1373.5704065344298</v>
      </c>
    </row>
    <row r="80" spans="2:12" x14ac:dyDescent="0.25">
      <c r="C80" t="s">
        <v>26</v>
      </c>
      <c r="G80" s="76">
        <f ca="1">OFFSET(G58,0,-G76)</f>
        <v>35</v>
      </c>
      <c r="H80" s="76">
        <f ca="1">OFFSET(H58,0,-H76)</f>
        <v>38.000000000000028</v>
      </c>
      <c r="I80" s="76">
        <f ca="1">OFFSET(I58,0,-I76)</f>
        <v>40.575000000000074</v>
      </c>
      <c r="J80" s="76">
        <f ca="1">OFFSET(J58,0,-J76)</f>
        <v>39.38749999999996</v>
      </c>
      <c r="K80" s="76">
        <f ca="1">OFFSET(K58,0,-K76)</f>
        <v>39.38749999999996</v>
      </c>
    </row>
    <row r="81" spans="3:11" x14ac:dyDescent="0.25">
      <c r="C81" t="s">
        <v>51</v>
      </c>
      <c r="G81" s="76">
        <f ca="1">OFFSET(G59,0,-G76)</f>
        <v>12</v>
      </c>
      <c r="H81" s="76">
        <f ca="1">OFFSET(H59,0,-H76)</f>
        <v>16</v>
      </c>
      <c r="I81" s="76">
        <f ca="1">OFFSET(I59,0,-I76)</f>
        <v>16.5</v>
      </c>
      <c r="J81" s="76">
        <f ca="1">OFFSET(J59,0,-J76)</f>
        <v>17</v>
      </c>
      <c r="K81" s="76">
        <f ca="1">OFFSET(K59,0,-K76)</f>
        <v>17</v>
      </c>
    </row>
    <row r="82" spans="3:11" x14ac:dyDescent="0.25">
      <c r="C82" t="s">
        <v>86</v>
      </c>
      <c r="G82" s="76">
        <f ca="1">OFFSET(G60,0,-G76)</f>
        <v>30</v>
      </c>
      <c r="H82" s="76">
        <f t="shared" ref="H82:K82" ca="1" si="11">OFFSET(H60,0,-H76)</f>
        <v>31.002376709930012</v>
      </c>
      <c r="I82" s="76">
        <f t="shared" ca="1" si="11"/>
        <v>31.831573862662811</v>
      </c>
      <c r="J82" s="76">
        <f t="shared" ca="1" si="11"/>
        <v>32.999230429544021</v>
      </c>
      <c r="K82" s="76">
        <f t="shared" ca="1" si="11"/>
        <v>32.999230429544021</v>
      </c>
    </row>
    <row r="84" spans="3:11" x14ac:dyDescent="0.25">
      <c r="C84" s="1" t="s">
        <v>113</v>
      </c>
    </row>
    <row r="85" spans="3:11" x14ac:dyDescent="0.25">
      <c r="C85" t="s">
        <v>85</v>
      </c>
      <c r="F85" s="79">
        <f>F56</f>
        <v>20</v>
      </c>
      <c r="G85" s="76">
        <f ca="1">IF(G$75,OFFSET(G56,0,-G$76),F85)</f>
        <v>20</v>
      </c>
      <c r="H85" s="76">
        <f ca="1">IF(H75,OFFSET(H56,0,-H76),G85)</f>
        <v>20</v>
      </c>
      <c r="I85" s="76">
        <f ca="1">IF(I75,OFFSET(I56,0,-I76),H85)</f>
        <v>20</v>
      </c>
      <c r="J85" s="76">
        <f ca="1">IF(J75,OFFSET(J56,0,-J76),I85)</f>
        <v>20</v>
      </c>
      <c r="K85" s="76">
        <f ca="1">IF(K75,OFFSET(K56,0,-K76),J85)</f>
        <v>23</v>
      </c>
    </row>
    <row r="86" spans="3:11" x14ac:dyDescent="0.25">
      <c r="C86" t="s">
        <v>27</v>
      </c>
      <c r="F86" s="79">
        <f>F57</f>
        <v>1</v>
      </c>
      <c r="G86" s="76">
        <f ca="1">IF(G$75,OFFSET(G57,0,-G$76),F86)</f>
        <v>1</v>
      </c>
      <c r="H86" s="76">
        <f ca="1">IF(H$75,OFFSET(H57,0,-H$76),G86)</f>
        <v>1</v>
      </c>
      <c r="I86" s="76">
        <f ca="1">IF(I$75,OFFSET(I57,0,-I$76),H86)</f>
        <v>1</v>
      </c>
      <c r="J86" s="76">
        <f ca="1">IF(J$75,OFFSET(J57,0,-J$76),I86)</f>
        <v>1</v>
      </c>
      <c r="K86" s="76">
        <f ca="1">IF(K$75,OFFSET(K57,0,-K$76),J86)</f>
        <v>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B2:AS58"/>
  <sheetViews>
    <sheetView showGridLines="0" topLeftCell="A7" workbookViewId="0">
      <selection activeCell="I8" sqref="I8"/>
    </sheetView>
  </sheetViews>
  <sheetFormatPr defaultRowHeight="15" x14ac:dyDescent="0.25"/>
  <sheetData>
    <row r="2" spans="2:45" x14ac:dyDescent="0.25">
      <c r="B2" s="66" t="s">
        <v>5</v>
      </c>
      <c r="C2" s="67"/>
      <c r="D2" s="82">
        <f>Assumptions!F6</f>
        <v>40</v>
      </c>
    </row>
    <row r="3" spans="2:45" x14ac:dyDescent="0.25">
      <c r="B3" s="68" t="s">
        <v>6</v>
      </c>
      <c r="C3" s="44"/>
      <c r="D3" s="83">
        <f>Assumptions!F7</f>
        <v>15</v>
      </c>
      <c r="F3" s="11"/>
      <c r="G3" s="12"/>
    </row>
    <row r="4" spans="2:45" x14ac:dyDescent="0.25">
      <c r="B4" s="68" t="s">
        <v>21</v>
      </c>
      <c r="C4" s="44"/>
      <c r="D4" s="84">
        <f>Assumptions!F8</f>
        <v>0.5</v>
      </c>
    </row>
    <row r="5" spans="2:45" x14ac:dyDescent="0.25">
      <c r="B5" s="69" t="s">
        <v>7</v>
      </c>
      <c r="C5" s="70"/>
      <c r="D5" s="85">
        <v>0.35499999999999998</v>
      </c>
    </row>
    <row r="8" spans="2:45" x14ac:dyDescent="0.25">
      <c r="B8" s="80" t="s">
        <v>14</v>
      </c>
      <c r="C8" s="81"/>
      <c r="D8" s="86">
        <f>Assumptions!G62</f>
        <v>100</v>
      </c>
      <c r="E8" s="86">
        <f>Assumptions!H62</f>
        <v>110</v>
      </c>
      <c r="F8" s="86">
        <v>125</v>
      </c>
      <c r="G8" s="86">
        <v>120</v>
      </c>
      <c r="H8" s="86">
        <v>120</v>
      </c>
    </row>
    <row r="10" spans="2:45" x14ac:dyDescent="0.25">
      <c r="AC10" s="13" t="s">
        <v>18</v>
      </c>
      <c r="AE10" s="13" t="s">
        <v>19</v>
      </c>
    </row>
    <row r="11" spans="2:45" x14ac:dyDescent="0.25">
      <c r="B11" s="1" t="s">
        <v>9</v>
      </c>
      <c r="K11" s="1" t="s">
        <v>10</v>
      </c>
      <c r="T11" s="1" t="s">
        <v>11</v>
      </c>
      <c r="U11" s="1"/>
      <c r="V11" s="1"/>
      <c r="W11" s="1"/>
      <c r="X11" s="1"/>
      <c r="Y11" s="1"/>
      <c r="Z11" s="1"/>
      <c r="AA11" s="1"/>
      <c r="AC11" s="13" t="s">
        <v>16</v>
      </c>
      <c r="AE11" s="13" t="s">
        <v>16</v>
      </c>
      <c r="AG11" s="13" t="s">
        <v>17</v>
      </c>
      <c r="AJ11" s="1" t="s">
        <v>12</v>
      </c>
      <c r="AK11" s="1"/>
      <c r="AL11" s="1"/>
      <c r="AM11" s="1"/>
    </row>
    <row r="12" spans="2:45" x14ac:dyDescent="0.25">
      <c r="B12" s="1" t="s">
        <v>8</v>
      </c>
      <c r="C12" s="23">
        <f>Assumptions!$F$4</f>
        <v>2016</v>
      </c>
      <c r="D12" s="23">
        <f t="shared" ref="D12:H12" si="0">C12+1</f>
        <v>2017</v>
      </c>
      <c r="E12" s="23">
        <f t="shared" si="0"/>
        <v>2018</v>
      </c>
      <c r="F12" s="23">
        <f t="shared" si="0"/>
        <v>2019</v>
      </c>
      <c r="G12" s="23">
        <f t="shared" si="0"/>
        <v>2020</v>
      </c>
      <c r="H12" s="23">
        <f t="shared" si="0"/>
        <v>2021</v>
      </c>
      <c r="K12" s="1" t="s">
        <v>8</v>
      </c>
      <c r="L12" s="23">
        <f>Assumptions!$F$4</f>
        <v>2016</v>
      </c>
      <c r="M12" s="23">
        <f t="shared" ref="M12:Q12" si="1">L12+1</f>
        <v>2017</v>
      </c>
      <c r="N12" s="23">
        <f t="shared" si="1"/>
        <v>2018</v>
      </c>
      <c r="O12" s="23">
        <f t="shared" si="1"/>
        <v>2019</v>
      </c>
      <c r="P12" s="23">
        <f t="shared" si="1"/>
        <v>2020</v>
      </c>
      <c r="Q12" s="23">
        <f t="shared" si="1"/>
        <v>2021</v>
      </c>
      <c r="T12" s="1" t="s">
        <v>8</v>
      </c>
      <c r="U12" s="23">
        <f>Assumptions!$F$4</f>
        <v>2016</v>
      </c>
      <c r="V12" s="23">
        <f t="shared" ref="V12:Z12" si="2">U12+1</f>
        <v>2017</v>
      </c>
      <c r="W12" s="23">
        <f t="shared" si="2"/>
        <v>2018</v>
      </c>
      <c r="X12" s="23">
        <f t="shared" si="2"/>
        <v>2019</v>
      </c>
      <c r="Y12" s="23">
        <f t="shared" si="2"/>
        <v>2020</v>
      </c>
      <c r="Z12" s="23">
        <f t="shared" si="2"/>
        <v>2021</v>
      </c>
      <c r="AA12" s="9"/>
      <c r="AC12" s="13" t="s">
        <v>20</v>
      </c>
      <c r="AE12" s="13" t="s">
        <v>20</v>
      </c>
      <c r="AG12" s="13" t="s">
        <v>16</v>
      </c>
      <c r="AJ12" s="1"/>
      <c r="AK12" s="1"/>
      <c r="AL12" s="1"/>
      <c r="AM12" s="1"/>
      <c r="AN12" s="23">
        <f>Assumptions!$F$4</f>
        <v>2016</v>
      </c>
      <c r="AO12" s="23">
        <f t="shared" ref="AO12:AS12" si="3">AN12+1</f>
        <v>2017</v>
      </c>
      <c r="AP12" s="23">
        <f t="shared" si="3"/>
        <v>2018</v>
      </c>
      <c r="AQ12" s="23">
        <f t="shared" si="3"/>
        <v>2019</v>
      </c>
      <c r="AR12" s="23">
        <f t="shared" si="3"/>
        <v>2020</v>
      </c>
      <c r="AS12" s="23">
        <f t="shared" si="3"/>
        <v>2021</v>
      </c>
    </row>
    <row r="13" spans="2:45" x14ac:dyDescent="0.25">
      <c r="B13" s="6">
        <v>1</v>
      </c>
      <c r="C13" s="8">
        <v>494</v>
      </c>
      <c r="D13" s="2">
        <f>D8</f>
        <v>100</v>
      </c>
      <c r="E13" s="2">
        <f>E8</f>
        <v>110</v>
      </c>
      <c r="F13" s="2">
        <f>F8</f>
        <v>125</v>
      </c>
      <c r="G13" s="2">
        <f>G8</f>
        <v>120</v>
      </c>
      <c r="H13" s="2">
        <f>H8</f>
        <v>120</v>
      </c>
      <c r="I13" s="2"/>
      <c r="K13" s="6">
        <v>1</v>
      </c>
      <c r="L13" s="2">
        <f>C13*$AC13</f>
        <v>6.1750000000000007</v>
      </c>
      <c r="M13" s="2">
        <f>D13*$AC13</f>
        <v>1.25</v>
      </c>
      <c r="N13" s="2">
        <f>E13*$AC13</f>
        <v>1.375</v>
      </c>
      <c r="O13" s="2">
        <f>F13*$AC13</f>
        <v>1.5625</v>
      </c>
      <c r="P13" s="2">
        <f>G13*$AC13</f>
        <v>1.5</v>
      </c>
      <c r="Q13" s="2">
        <f>H13*$AC13</f>
        <v>1.5</v>
      </c>
      <c r="T13" s="6">
        <v>1</v>
      </c>
      <c r="U13" s="2">
        <f>$AE13*C13</f>
        <v>32.93333333333333</v>
      </c>
      <c r="V13" s="2">
        <f>$AE13*D13</f>
        <v>6.666666666666667</v>
      </c>
      <c r="W13" s="2">
        <f>$AE13*E13</f>
        <v>7.333333333333333</v>
      </c>
      <c r="X13" s="2">
        <f>$AE13*F13</f>
        <v>8.3333333333333339</v>
      </c>
      <c r="Y13" s="2">
        <f>$AE13*G13</f>
        <v>8</v>
      </c>
      <c r="Z13" s="2">
        <f>$AE13*H13</f>
        <v>8</v>
      </c>
      <c r="AA13" s="2"/>
      <c r="AC13" s="11">
        <f>MIN(1,($K13-(1-$D$4))/$D$2)</f>
        <v>1.2500000000000001E-2</v>
      </c>
      <c r="AE13" s="12">
        <f>IFERROR(macrs($D$3,$D$4,$AG13,$T13,TRUE),1)</f>
        <v>6.6666666666666666E-2</v>
      </c>
      <c r="AG13" s="7">
        <v>0</v>
      </c>
      <c r="AJ13" s="5" t="s">
        <v>96</v>
      </c>
      <c r="AK13" s="5"/>
      <c r="AL13" s="5"/>
      <c r="AM13" s="5"/>
      <c r="AN13" s="2">
        <f>L58</f>
        <v>159.99999999999997</v>
      </c>
      <c r="AO13" s="2">
        <f>M58</f>
        <v>198</v>
      </c>
      <c r="AP13" s="2">
        <f>N58</f>
        <v>238.57500000000007</v>
      </c>
      <c r="AQ13" s="2">
        <f>O58</f>
        <v>277.96250000000003</v>
      </c>
      <c r="AR13" s="2">
        <f>P58</f>
        <v>318.26249999999993</v>
      </c>
      <c r="AS13" s="2">
        <f>Q58</f>
        <v>361.41250000000002</v>
      </c>
    </row>
    <row r="14" spans="2:45" x14ac:dyDescent="0.25">
      <c r="B14" s="6">
        <v>2</v>
      </c>
      <c r="C14" s="8">
        <v>125</v>
      </c>
      <c r="D14" s="2">
        <f>C13</f>
        <v>494</v>
      </c>
      <c r="E14" s="2">
        <f t="shared" ref="E14:H29" si="4">D13</f>
        <v>100</v>
      </c>
      <c r="F14" s="2">
        <f t="shared" si="4"/>
        <v>110</v>
      </c>
      <c r="G14" s="2">
        <f t="shared" si="4"/>
        <v>125</v>
      </c>
      <c r="H14" s="2">
        <f t="shared" si="4"/>
        <v>120</v>
      </c>
      <c r="I14" s="2"/>
      <c r="K14" s="6">
        <v>2</v>
      </c>
      <c r="L14" s="2">
        <f>C14*$AC14</f>
        <v>4.6875</v>
      </c>
      <c r="M14" s="2">
        <f>D14*$AC14</f>
        <v>18.524999999999999</v>
      </c>
      <c r="N14" s="2">
        <f>E14*$AC14</f>
        <v>3.75</v>
      </c>
      <c r="O14" s="2">
        <f>F14*$AC14</f>
        <v>4.125</v>
      </c>
      <c r="P14" s="2">
        <f>G14*$AC14</f>
        <v>4.6875</v>
      </c>
      <c r="Q14" s="2">
        <f>H14*$AC14</f>
        <v>4.5</v>
      </c>
      <c r="T14" s="6">
        <v>2</v>
      </c>
      <c r="U14" s="2">
        <f>$AE14*C14</f>
        <v>23.888888888888889</v>
      </c>
      <c r="V14" s="2">
        <f>$AE14*D14</f>
        <v>94.408888888888896</v>
      </c>
      <c r="W14" s="2">
        <f>$AE14*E14</f>
        <v>19.111111111111111</v>
      </c>
      <c r="X14" s="2">
        <f>$AE14*F14</f>
        <v>21.022222222222222</v>
      </c>
      <c r="Y14" s="2">
        <f>$AE14*G14</f>
        <v>23.888888888888889</v>
      </c>
      <c r="Z14" s="2">
        <f>$AE14*H14</f>
        <v>22.933333333333334</v>
      </c>
      <c r="AA14" s="2"/>
      <c r="AC14" s="11">
        <f>MIN(1,($K14-(1-$D$4))/$D$2)</f>
        <v>3.7499999999999999E-2</v>
      </c>
      <c r="AE14" s="12">
        <f>IFERROR(macrs($D$3,$D$4,$AG14,$T14,TRUE),1)</f>
        <v>0.19111111111111112</v>
      </c>
      <c r="AG14" s="7">
        <v>0</v>
      </c>
      <c r="AJ14" s="5" t="s">
        <v>97</v>
      </c>
      <c r="AK14" s="5"/>
      <c r="AL14" s="5"/>
      <c r="AM14" s="5"/>
      <c r="AN14" s="2">
        <f>U58</f>
        <v>443.71958726316802</v>
      </c>
      <c r="AO14" s="2">
        <f>V58</f>
        <v>588.27398418333087</v>
      </c>
      <c r="AP14" s="2">
        <f>W58</f>
        <v>727.18767545780736</v>
      </c>
      <c r="AQ14" s="2">
        <f>X58</f>
        <v>859.55994638188793</v>
      </c>
      <c r="AR14" s="2">
        <f>Y58</f>
        <v>988.34933467827102</v>
      </c>
      <c r="AS14" s="2">
        <f>Z58</f>
        <v>1115.3865730399634</v>
      </c>
    </row>
    <row r="15" spans="2:45" x14ac:dyDescent="0.25">
      <c r="B15" s="6">
        <v>3</v>
      </c>
      <c r="C15" s="8">
        <v>588</v>
      </c>
      <c r="D15" s="2">
        <f t="shared" ref="D15:H53" si="5">C14</f>
        <v>125</v>
      </c>
      <c r="E15" s="2">
        <f t="shared" si="4"/>
        <v>494</v>
      </c>
      <c r="F15" s="2">
        <f t="shared" si="4"/>
        <v>100</v>
      </c>
      <c r="G15" s="2">
        <f t="shared" si="4"/>
        <v>110</v>
      </c>
      <c r="H15" s="2">
        <f t="shared" si="4"/>
        <v>125</v>
      </c>
      <c r="I15" s="2"/>
      <c r="K15" s="6">
        <v>3</v>
      </c>
      <c r="L15" s="2">
        <f>C15*$AC15</f>
        <v>36.75</v>
      </c>
      <c r="M15" s="2">
        <f>D15*$AC15</f>
        <v>7.8125</v>
      </c>
      <c r="N15" s="2">
        <f>E15*$AC15</f>
        <v>30.875</v>
      </c>
      <c r="O15" s="2">
        <f>F15*$AC15</f>
        <v>6.25</v>
      </c>
      <c r="P15" s="2">
        <f>G15*$AC15</f>
        <v>6.875</v>
      </c>
      <c r="Q15" s="2">
        <f>H15*$AC15</f>
        <v>7.8125</v>
      </c>
      <c r="T15" s="6">
        <v>3</v>
      </c>
      <c r="U15" s="2">
        <f>$AE15*C15</f>
        <v>175.79022222222224</v>
      </c>
      <c r="V15" s="2">
        <f>$AE15*D15</f>
        <v>37.370370370370374</v>
      </c>
      <c r="W15" s="2">
        <f>$AE15*E15</f>
        <v>147.6877037037037</v>
      </c>
      <c r="X15" s="2">
        <f>$AE15*F15</f>
        <v>29.896296296296299</v>
      </c>
      <c r="Y15" s="2">
        <f>$AE15*G15</f>
        <v>32.885925925925932</v>
      </c>
      <c r="Z15" s="2">
        <f>$AE15*H15</f>
        <v>37.370370370370374</v>
      </c>
      <c r="AA15" s="2"/>
      <c r="AC15" s="11">
        <f>MIN(1,($K15-(1-$D$4))/$D$2)</f>
        <v>6.25E-2</v>
      </c>
      <c r="AE15" s="12">
        <f>IFERROR(macrs($D$3,$D$4,$AG15,$T15,TRUE),1)</f>
        <v>0.29896296296296299</v>
      </c>
      <c r="AG15" s="7">
        <v>0</v>
      </c>
      <c r="AJ15" s="1" t="s">
        <v>13</v>
      </c>
      <c r="AK15" s="1"/>
      <c r="AL15" s="1"/>
      <c r="AM15" s="1"/>
      <c r="AN15" s="3">
        <f>(AN14-AN13)*$D$5</f>
        <v>100.72045347842464</v>
      </c>
      <c r="AO15" s="3">
        <f>(AO14-AO13)*$D$5</f>
        <v>138.54726438508246</v>
      </c>
      <c r="AP15" s="3">
        <f>(AP14-AP13)*$D$5</f>
        <v>173.45749978752158</v>
      </c>
      <c r="AQ15" s="3">
        <f>(AQ14-AQ13)*$D$5</f>
        <v>206.4670934655702</v>
      </c>
      <c r="AR15" s="3">
        <f>(AR14-AR13)*$D$5</f>
        <v>237.88082631078623</v>
      </c>
      <c r="AS15" s="3">
        <f>(AS14-AS13)*$D$5</f>
        <v>267.66079592918697</v>
      </c>
    </row>
    <row r="16" spans="2:45" x14ac:dyDescent="0.25">
      <c r="B16" s="6">
        <v>4</v>
      </c>
      <c r="C16" s="8">
        <v>32</v>
      </c>
      <c r="D16" s="2">
        <f t="shared" si="5"/>
        <v>588</v>
      </c>
      <c r="E16" s="2">
        <f t="shared" si="4"/>
        <v>125</v>
      </c>
      <c r="F16" s="2">
        <f t="shared" si="4"/>
        <v>494</v>
      </c>
      <c r="G16" s="2">
        <f t="shared" si="4"/>
        <v>100</v>
      </c>
      <c r="H16" s="2">
        <f t="shared" si="4"/>
        <v>110</v>
      </c>
      <c r="I16" s="2"/>
      <c r="K16" s="6">
        <v>4</v>
      </c>
      <c r="L16" s="2">
        <f>C16*$AC16</f>
        <v>2.8</v>
      </c>
      <c r="M16" s="2">
        <f>D16*$AC16</f>
        <v>51.449999999999996</v>
      </c>
      <c r="N16" s="2">
        <f>E16*$AC16</f>
        <v>10.9375</v>
      </c>
      <c r="O16" s="2">
        <f>F16*$AC16</f>
        <v>43.224999999999994</v>
      </c>
      <c r="P16" s="2">
        <f>G16*$AC16</f>
        <v>8.75</v>
      </c>
      <c r="Q16" s="2">
        <f>H16*$AC16</f>
        <v>9.625</v>
      </c>
      <c r="T16" s="6">
        <v>4</v>
      </c>
      <c r="U16" s="2">
        <f>$AE16*C16</f>
        <v>12.557906172839507</v>
      </c>
      <c r="V16" s="2">
        <f>$AE16*D16</f>
        <v>230.75152592592593</v>
      </c>
      <c r="W16" s="2">
        <f>$AE16*E16</f>
        <v>49.054320987654322</v>
      </c>
      <c r="X16" s="2">
        <f>$AE16*F16</f>
        <v>193.86267654320989</v>
      </c>
      <c r="Y16" s="2">
        <f>$AE16*G16</f>
        <v>39.24345679012346</v>
      </c>
      <c r="Z16" s="2">
        <f>$AE16*H16</f>
        <v>43.167802469135808</v>
      </c>
      <c r="AA16" s="2"/>
      <c r="AC16" s="11">
        <f>MIN(1,($K16-(1-$D$4))/$D$2)</f>
        <v>8.7499999999999994E-2</v>
      </c>
      <c r="AE16" s="12">
        <f>IFERROR(macrs($D$3,$D$4,$AG16,$T16,TRUE),1)</f>
        <v>0.3924345679012346</v>
      </c>
      <c r="AG16" s="7">
        <v>0</v>
      </c>
    </row>
    <row r="17" spans="2:33" x14ac:dyDescent="0.25">
      <c r="B17" s="6">
        <v>5</v>
      </c>
      <c r="C17" s="8">
        <v>20</v>
      </c>
      <c r="D17" s="2">
        <f t="shared" si="5"/>
        <v>32</v>
      </c>
      <c r="E17" s="2">
        <f t="shared" si="4"/>
        <v>588</v>
      </c>
      <c r="F17" s="2">
        <f t="shared" si="4"/>
        <v>125</v>
      </c>
      <c r="G17" s="2">
        <f t="shared" si="4"/>
        <v>494</v>
      </c>
      <c r="H17" s="2">
        <f t="shared" si="4"/>
        <v>100</v>
      </c>
      <c r="I17" s="2"/>
      <c r="K17" s="6">
        <v>5</v>
      </c>
      <c r="L17" s="2">
        <f>C17*$AC17</f>
        <v>2.25</v>
      </c>
      <c r="M17" s="2">
        <f>D17*$AC17</f>
        <v>3.6</v>
      </c>
      <c r="N17" s="2">
        <f>E17*$AC17</f>
        <v>66.150000000000006</v>
      </c>
      <c r="O17" s="2">
        <f>F17*$AC17</f>
        <v>14.0625</v>
      </c>
      <c r="P17" s="2">
        <f>G17*$AC17</f>
        <v>55.575000000000003</v>
      </c>
      <c r="Q17" s="2">
        <f>H17*$AC17</f>
        <v>11.25</v>
      </c>
      <c r="T17" s="6">
        <v>5</v>
      </c>
      <c r="U17" s="2">
        <f>$AE17*C17</f>
        <v>9.4688658436213995</v>
      </c>
      <c r="V17" s="2">
        <f>$AE17*D17</f>
        <v>15.15018534979424</v>
      </c>
      <c r="W17" s="2">
        <f>$AE17*E17</f>
        <v>278.38465580246918</v>
      </c>
      <c r="X17" s="2">
        <f>$AE17*F17</f>
        <v>59.180411522633754</v>
      </c>
      <c r="Y17" s="2">
        <f>$AE17*G17</f>
        <v>233.88098633744858</v>
      </c>
      <c r="Z17" s="2">
        <f>$AE17*H17</f>
        <v>47.344329218106999</v>
      </c>
      <c r="AA17" s="2"/>
      <c r="AC17" s="11">
        <f>MIN(1,($K17-(1-$D$4))/$D$2)</f>
        <v>0.1125</v>
      </c>
      <c r="AE17" s="12">
        <f>IFERROR(macrs($D$3,$D$4,$AG17,$T17,TRUE),1)</f>
        <v>0.47344329218107001</v>
      </c>
      <c r="AG17" s="7">
        <v>0</v>
      </c>
    </row>
    <row r="18" spans="2:33" x14ac:dyDescent="0.25">
      <c r="B18" s="6">
        <v>6</v>
      </c>
      <c r="C18" s="8">
        <v>14</v>
      </c>
      <c r="D18" s="2">
        <f t="shared" si="5"/>
        <v>20</v>
      </c>
      <c r="E18" s="2">
        <f t="shared" si="4"/>
        <v>32</v>
      </c>
      <c r="F18" s="2">
        <f t="shared" si="4"/>
        <v>588</v>
      </c>
      <c r="G18" s="2">
        <f t="shared" si="4"/>
        <v>125</v>
      </c>
      <c r="H18" s="2">
        <f t="shared" si="4"/>
        <v>494</v>
      </c>
      <c r="I18" s="2"/>
      <c r="K18" s="6">
        <v>6</v>
      </c>
      <c r="L18" s="2">
        <f>C18*$AC18</f>
        <v>1.9250000000000003</v>
      </c>
      <c r="M18" s="2">
        <f>D18*$AC18</f>
        <v>2.75</v>
      </c>
      <c r="N18" s="2">
        <f>E18*$AC18</f>
        <v>4.4000000000000004</v>
      </c>
      <c r="O18" s="2">
        <f>F18*$AC18</f>
        <v>80.850000000000009</v>
      </c>
      <c r="P18" s="2">
        <f>G18*$AC18</f>
        <v>17.1875</v>
      </c>
      <c r="Q18" s="2">
        <f>H18*$AC18</f>
        <v>67.925000000000011</v>
      </c>
      <c r="T18" s="6">
        <v>6</v>
      </c>
      <c r="U18" s="2">
        <f>$AE18*C18</f>
        <v>7.6111119451303155</v>
      </c>
      <c r="V18" s="2">
        <f>$AE18*D18</f>
        <v>10.873017064471879</v>
      </c>
      <c r="W18" s="2">
        <f>$AE18*E18</f>
        <v>17.396827303155007</v>
      </c>
      <c r="X18" s="2">
        <f>$AE18*F18</f>
        <v>319.66670169547325</v>
      </c>
      <c r="Y18" s="2">
        <f>$AE18*G18</f>
        <v>67.956356652949239</v>
      </c>
      <c r="Z18" s="2">
        <f>$AE18*H18</f>
        <v>268.56352149245544</v>
      </c>
      <c r="AA18" s="2"/>
      <c r="AC18" s="11">
        <f>MIN(1,($K18-(1-$D$4))/$D$2)</f>
        <v>0.13750000000000001</v>
      </c>
      <c r="AE18" s="12">
        <f>IFERROR(macrs($D$3,$D$4,$AG18,$T18,TRUE),1)</f>
        <v>0.54365085322359397</v>
      </c>
      <c r="AG18" s="7">
        <v>0</v>
      </c>
    </row>
    <row r="19" spans="2:33" x14ac:dyDescent="0.25">
      <c r="B19" s="6">
        <v>7</v>
      </c>
      <c r="C19" s="8">
        <v>11</v>
      </c>
      <c r="D19" s="2">
        <f t="shared" si="5"/>
        <v>14</v>
      </c>
      <c r="E19" s="2">
        <f t="shared" si="4"/>
        <v>20</v>
      </c>
      <c r="F19" s="2">
        <f t="shared" si="4"/>
        <v>32</v>
      </c>
      <c r="G19" s="2">
        <f t="shared" si="4"/>
        <v>588</v>
      </c>
      <c r="H19" s="2">
        <f t="shared" si="4"/>
        <v>125</v>
      </c>
      <c r="I19" s="2"/>
      <c r="K19" s="6">
        <v>7</v>
      </c>
      <c r="L19" s="2">
        <f>C19*$AC19</f>
        <v>1.7875000000000001</v>
      </c>
      <c r="M19" s="2">
        <f>D19*$AC19</f>
        <v>2.2749999999999999</v>
      </c>
      <c r="N19" s="2">
        <f>E19*$AC19</f>
        <v>3.25</v>
      </c>
      <c r="O19" s="2">
        <f>F19*$AC19</f>
        <v>5.2</v>
      </c>
      <c r="P19" s="2">
        <f>G19*$AC19</f>
        <v>95.55</v>
      </c>
      <c r="Q19" s="2">
        <f>H19*$AC19</f>
        <v>20.3125</v>
      </c>
      <c r="T19" s="6">
        <v>7</v>
      </c>
      <c r="U19" s="2">
        <f>$AE19*C19</f>
        <v>6.6494714673982624</v>
      </c>
      <c r="V19" s="2">
        <f>$AE19*D19</f>
        <v>8.4629636857796076</v>
      </c>
      <c r="W19" s="2">
        <f>$AE19*E19</f>
        <v>12.089948122542296</v>
      </c>
      <c r="X19" s="2">
        <f>$AE19*F19</f>
        <v>19.343916996067673</v>
      </c>
      <c r="Y19" s="2">
        <f>$AE19*G19</f>
        <v>355.44447480274351</v>
      </c>
      <c r="Z19" s="2">
        <f>$AE19*H19</f>
        <v>75.56217576588935</v>
      </c>
      <c r="AA19" s="2"/>
      <c r="AC19" s="11">
        <f>MIN(1,($K19-(1-$D$4))/$D$2)</f>
        <v>0.16250000000000001</v>
      </c>
      <c r="AE19" s="12">
        <f>IFERROR(macrs($D$3,$D$4,$AG19,$T19,TRUE),1)</f>
        <v>0.60449740612711478</v>
      </c>
      <c r="AG19" s="7">
        <v>0</v>
      </c>
    </row>
    <row r="20" spans="2:33" x14ac:dyDescent="0.25">
      <c r="B20" s="6">
        <v>8</v>
      </c>
      <c r="C20" s="8">
        <v>10</v>
      </c>
      <c r="D20" s="2">
        <f t="shared" si="5"/>
        <v>11</v>
      </c>
      <c r="E20" s="2">
        <f t="shared" si="4"/>
        <v>14</v>
      </c>
      <c r="F20" s="2">
        <f t="shared" si="4"/>
        <v>20</v>
      </c>
      <c r="G20" s="2">
        <f t="shared" si="4"/>
        <v>32</v>
      </c>
      <c r="H20" s="2">
        <f t="shared" si="4"/>
        <v>588</v>
      </c>
      <c r="I20" s="2"/>
      <c r="K20" s="6">
        <v>8</v>
      </c>
      <c r="L20" s="2">
        <f>C20*$AC20</f>
        <v>1.875</v>
      </c>
      <c r="M20" s="2">
        <f>D20*$AC20</f>
        <v>2.0625</v>
      </c>
      <c r="N20" s="2">
        <f>E20*$AC20</f>
        <v>2.625</v>
      </c>
      <c r="O20" s="2">
        <f>F20*$AC20</f>
        <v>3.75</v>
      </c>
      <c r="P20" s="2">
        <f>G20*$AC20</f>
        <v>6</v>
      </c>
      <c r="Q20" s="2">
        <f>H20*$AC20</f>
        <v>110.25</v>
      </c>
      <c r="T20" s="6">
        <v>8</v>
      </c>
      <c r="U20" s="2">
        <f>$AE20*C20</f>
        <v>6.5723108531016621</v>
      </c>
      <c r="V20" s="2">
        <f>$AE20*D20</f>
        <v>7.2295419384118276</v>
      </c>
      <c r="W20" s="2">
        <f>$AE20*E20</f>
        <v>9.2012351943423258</v>
      </c>
      <c r="X20" s="2">
        <f>$AE20*F20</f>
        <v>13.144621706203324</v>
      </c>
      <c r="Y20" s="2">
        <f>$AE20*G20</f>
        <v>21.031394729925317</v>
      </c>
      <c r="Z20" s="2">
        <f>$AE20*H20</f>
        <v>386.45187816237768</v>
      </c>
      <c r="AA20" s="2"/>
      <c r="AC20" s="11">
        <f>MIN(1,($K20-(1-$D$4))/$D$2)</f>
        <v>0.1875</v>
      </c>
      <c r="AE20" s="12">
        <f>IFERROR(macrs($D$3,$D$4,$AG20,$T20,TRUE),1)</f>
        <v>0.65723108531016616</v>
      </c>
      <c r="AG20" s="7">
        <v>0</v>
      </c>
    </row>
    <row r="21" spans="2:33" x14ac:dyDescent="0.25">
      <c r="B21" s="6">
        <v>9</v>
      </c>
      <c r="C21" s="8">
        <v>9</v>
      </c>
      <c r="D21" s="2">
        <f t="shared" si="5"/>
        <v>10</v>
      </c>
      <c r="E21" s="2">
        <f t="shared" si="4"/>
        <v>11</v>
      </c>
      <c r="F21" s="2">
        <f t="shared" si="4"/>
        <v>14</v>
      </c>
      <c r="G21" s="2">
        <f t="shared" si="4"/>
        <v>20</v>
      </c>
      <c r="H21" s="2">
        <f t="shared" si="4"/>
        <v>32</v>
      </c>
      <c r="I21" s="2"/>
      <c r="K21" s="6">
        <v>9</v>
      </c>
      <c r="L21" s="2">
        <f>C21*$AC21</f>
        <v>1.9124999999999999</v>
      </c>
      <c r="M21" s="2">
        <f>D21*$AC21</f>
        <v>2.125</v>
      </c>
      <c r="N21" s="2">
        <f>E21*$AC21</f>
        <v>2.3374999999999999</v>
      </c>
      <c r="O21" s="2">
        <f>F21*$AC21</f>
        <v>2.9750000000000001</v>
      </c>
      <c r="P21" s="2">
        <f>G21*$AC21</f>
        <v>4.25</v>
      </c>
      <c r="Q21" s="2">
        <f>H21*$AC21</f>
        <v>6.8</v>
      </c>
      <c r="T21" s="6">
        <v>9</v>
      </c>
      <c r="U21" s="2">
        <f>$AE21*C21</f>
        <v>6.3400432691671575</v>
      </c>
      <c r="V21" s="2">
        <f>$AE21*D21</f>
        <v>7.0444925212968412</v>
      </c>
      <c r="W21" s="2">
        <f>$AE21*E21</f>
        <v>7.7489417734265249</v>
      </c>
      <c r="X21" s="2">
        <f>$AE21*F21</f>
        <v>9.8622895298155768</v>
      </c>
      <c r="Y21" s="2">
        <f>$AE21*G21</f>
        <v>14.088985042593682</v>
      </c>
      <c r="Z21" s="2">
        <f>$AE21*H21</f>
        <v>22.542376068149892</v>
      </c>
      <c r="AA21" s="2"/>
      <c r="AC21" s="11">
        <f>MIN(1,($K21-(1-$D$4))/$D$2)</f>
        <v>0.21249999999999999</v>
      </c>
      <c r="AE21" s="12">
        <f>IFERROR(macrs($D$3,$D$4,$AG21,$T21,TRUE),1)</f>
        <v>0.70444925212968412</v>
      </c>
      <c r="AG21" s="7">
        <v>0</v>
      </c>
    </row>
    <row r="22" spans="2:33" x14ac:dyDescent="0.25">
      <c r="B22" s="6">
        <v>10</v>
      </c>
      <c r="C22" s="8">
        <v>8</v>
      </c>
      <c r="D22" s="2">
        <f t="shared" si="5"/>
        <v>9</v>
      </c>
      <c r="E22" s="2">
        <f t="shared" si="4"/>
        <v>10</v>
      </c>
      <c r="F22" s="2">
        <f t="shared" si="4"/>
        <v>11</v>
      </c>
      <c r="G22" s="2">
        <f t="shared" si="4"/>
        <v>14</v>
      </c>
      <c r="H22" s="2">
        <f t="shared" si="4"/>
        <v>20</v>
      </c>
      <c r="I22" s="2"/>
      <c r="K22" s="6">
        <v>10</v>
      </c>
      <c r="L22" s="2">
        <f>C22*$AC22</f>
        <v>1.9</v>
      </c>
      <c r="M22" s="2">
        <f>D22*$AC22</f>
        <v>2.1374999999999997</v>
      </c>
      <c r="N22" s="2">
        <f>E22*$AC22</f>
        <v>2.375</v>
      </c>
      <c r="O22" s="2">
        <f>F22*$AC22</f>
        <v>2.6124999999999998</v>
      </c>
      <c r="P22" s="2">
        <f>G22*$AC22</f>
        <v>3.3249999999999997</v>
      </c>
      <c r="Q22" s="2">
        <f>H22*$AC22</f>
        <v>4.75</v>
      </c>
      <c r="T22" s="6">
        <v>10</v>
      </c>
      <c r="U22" s="2">
        <f>$AE22*C22</f>
        <v>5.9993487836470925</v>
      </c>
      <c r="V22" s="2">
        <f>$AE22*D22</f>
        <v>6.7492673816029791</v>
      </c>
      <c r="W22" s="2">
        <f>$AE22*E22</f>
        <v>7.4991859795588658</v>
      </c>
      <c r="X22" s="2">
        <f>$AE22*F22</f>
        <v>8.2491045775147516</v>
      </c>
      <c r="Y22" s="2">
        <f>$AE22*G22</f>
        <v>10.498860371382412</v>
      </c>
      <c r="Z22" s="2">
        <f>$AE22*H22</f>
        <v>14.998371959117732</v>
      </c>
      <c r="AA22" s="2"/>
      <c r="AC22" s="11">
        <f>MIN(1,($K22-(1-$D$4))/$D$2)</f>
        <v>0.23749999999999999</v>
      </c>
      <c r="AE22" s="12">
        <f>IFERROR(macrs($D$3,$D$4,$AG22,$T22,TRUE),1)</f>
        <v>0.74991859795588656</v>
      </c>
      <c r="AG22" s="7">
        <v>0</v>
      </c>
    </row>
    <row r="23" spans="2:33" x14ac:dyDescent="0.25">
      <c r="B23" s="6">
        <v>11</v>
      </c>
      <c r="C23" s="8">
        <v>7</v>
      </c>
      <c r="D23" s="2">
        <f t="shared" si="5"/>
        <v>8</v>
      </c>
      <c r="E23" s="2">
        <f t="shared" si="4"/>
        <v>9</v>
      </c>
      <c r="F23" s="2">
        <f t="shared" si="4"/>
        <v>10</v>
      </c>
      <c r="G23" s="2">
        <f t="shared" si="4"/>
        <v>11</v>
      </c>
      <c r="H23" s="2">
        <f t="shared" si="4"/>
        <v>14</v>
      </c>
      <c r="I23" s="2"/>
      <c r="K23" s="6">
        <v>11</v>
      </c>
      <c r="L23" s="2">
        <f>C23*$AC23</f>
        <v>1.8375000000000001</v>
      </c>
      <c r="M23" s="2">
        <f>D23*$AC23</f>
        <v>2.1</v>
      </c>
      <c r="N23" s="2">
        <f>E23*$AC23</f>
        <v>2.3625000000000003</v>
      </c>
      <c r="O23" s="2">
        <f>F23*$AC23</f>
        <v>2.625</v>
      </c>
      <c r="P23" s="2">
        <f>G23*$AC23</f>
        <v>2.8875000000000002</v>
      </c>
      <c r="Q23" s="2">
        <f>H23*$AC23</f>
        <v>3.6750000000000003</v>
      </c>
      <c r="T23" s="6">
        <v>11</v>
      </c>
      <c r="U23" s="2">
        <f>$AE23*C23</f>
        <v>5.5677156064746232</v>
      </c>
      <c r="V23" s="2">
        <f>$AE23*D23</f>
        <v>6.3631035502567119</v>
      </c>
      <c r="W23" s="2">
        <f>$AE23*E23</f>
        <v>7.1584914940388007</v>
      </c>
      <c r="X23" s="2">
        <f>$AE23*F23</f>
        <v>7.9538794378208895</v>
      </c>
      <c r="Y23" s="2">
        <f>$AE23*G23</f>
        <v>8.7492673816029782</v>
      </c>
      <c r="Z23" s="2">
        <f>$AE23*H23</f>
        <v>11.135431212949246</v>
      </c>
      <c r="AA23" s="2"/>
      <c r="AC23" s="11">
        <f>MIN(1,($K23-(1-$D$4))/$D$2)</f>
        <v>0.26250000000000001</v>
      </c>
      <c r="AE23" s="12">
        <f>IFERROR(macrs($D$3,$D$4,$AG23,$T23,TRUE),1)</f>
        <v>0.79538794378208899</v>
      </c>
      <c r="AG23" s="7">
        <v>0</v>
      </c>
    </row>
    <row r="24" spans="2:33" x14ac:dyDescent="0.25">
      <c r="B24" s="6">
        <v>12</v>
      </c>
      <c r="C24" s="8">
        <v>6</v>
      </c>
      <c r="D24" s="2">
        <f t="shared" si="5"/>
        <v>7</v>
      </c>
      <c r="E24" s="2">
        <f t="shared" si="4"/>
        <v>8</v>
      </c>
      <c r="F24" s="2">
        <f t="shared" si="4"/>
        <v>9</v>
      </c>
      <c r="G24" s="2">
        <f t="shared" si="4"/>
        <v>10</v>
      </c>
      <c r="H24" s="2">
        <f t="shared" si="4"/>
        <v>11</v>
      </c>
      <c r="I24" s="2"/>
      <c r="K24" s="6">
        <v>12</v>
      </c>
      <c r="L24" s="2">
        <f>C24*$AC24</f>
        <v>1.7249999999999999</v>
      </c>
      <c r="M24" s="2">
        <f>D24*$AC24</f>
        <v>2.0124999999999997</v>
      </c>
      <c r="N24" s="2">
        <f>E24*$AC24</f>
        <v>2.2999999999999998</v>
      </c>
      <c r="O24" s="2">
        <f>F24*$AC24</f>
        <v>2.5874999999999999</v>
      </c>
      <c r="P24" s="2">
        <f>G24*$AC24</f>
        <v>2.875</v>
      </c>
      <c r="Q24" s="2">
        <f>H24*$AC24</f>
        <v>3.1624999999999996</v>
      </c>
      <c r="T24" s="6">
        <v>12</v>
      </c>
      <c r="U24" s="2">
        <f>$AE24*C24</f>
        <v>5.0451437376497488</v>
      </c>
      <c r="V24" s="2">
        <f>$AE24*D24</f>
        <v>5.8860010272580396</v>
      </c>
      <c r="W24" s="2">
        <f>$AE24*E24</f>
        <v>6.7268583168663314</v>
      </c>
      <c r="X24" s="2">
        <f>$AE24*F24</f>
        <v>7.5677156064746232</v>
      </c>
      <c r="Y24" s="2">
        <f>$AE24*G24</f>
        <v>8.408572896082914</v>
      </c>
      <c r="Z24" s="2">
        <f>$AE24*H24</f>
        <v>9.2494301856912049</v>
      </c>
      <c r="AA24" s="2"/>
      <c r="AC24" s="11">
        <f>MIN(1,($K24-(1-$D$4))/$D$2)</f>
        <v>0.28749999999999998</v>
      </c>
      <c r="AE24" s="12">
        <f>IFERROR(macrs($D$3,$D$4,$AG24,$T24,TRUE),1)</f>
        <v>0.84085728960829142</v>
      </c>
      <c r="AG24" s="7">
        <v>0</v>
      </c>
    </row>
    <row r="25" spans="2:33" x14ac:dyDescent="0.25">
      <c r="B25" s="6">
        <v>13</v>
      </c>
      <c r="C25" s="8">
        <v>0</v>
      </c>
      <c r="D25" s="2">
        <f t="shared" si="5"/>
        <v>6</v>
      </c>
      <c r="E25" s="2">
        <f t="shared" si="4"/>
        <v>7</v>
      </c>
      <c r="F25" s="2">
        <f t="shared" si="4"/>
        <v>8</v>
      </c>
      <c r="G25" s="2">
        <f t="shared" si="4"/>
        <v>9</v>
      </c>
      <c r="H25" s="2">
        <f t="shared" si="4"/>
        <v>10</v>
      </c>
      <c r="I25" s="2"/>
      <c r="K25" s="6">
        <v>13</v>
      </c>
      <c r="L25" s="2">
        <f>C25*$AC25</f>
        <v>0</v>
      </c>
      <c r="M25" s="2">
        <f>D25*$AC25</f>
        <v>1.875</v>
      </c>
      <c r="N25" s="2">
        <f>E25*$AC25</f>
        <v>2.1875</v>
      </c>
      <c r="O25" s="2">
        <f>F25*$AC25</f>
        <v>2.5</v>
      </c>
      <c r="P25" s="2">
        <f>G25*$AC25</f>
        <v>2.8125</v>
      </c>
      <c r="Q25" s="2">
        <f>H25*$AC25</f>
        <v>3.125</v>
      </c>
      <c r="T25" s="6">
        <v>13</v>
      </c>
      <c r="U25" s="2">
        <f>$AE25*C25</f>
        <v>0</v>
      </c>
      <c r="V25" s="2">
        <f>$AE25*D25</f>
        <v>5.3179598126069632</v>
      </c>
      <c r="W25" s="2">
        <f>$AE25*E25</f>
        <v>6.204286448041457</v>
      </c>
      <c r="X25" s="2">
        <f>$AE25*F25</f>
        <v>7.0906130834759509</v>
      </c>
      <c r="Y25" s="2">
        <f>$AE25*G25</f>
        <v>7.9769397189104447</v>
      </c>
      <c r="Z25" s="2">
        <f>$AE25*H25</f>
        <v>8.8632663543449386</v>
      </c>
      <c r="AA25" s="2"/>
      <c r="AC25" s="11">
        <f>MIN(1,($K25-(1-$D$4))/$D$2)</f>
        <v>0.3125</v>
      </c>
      <c r="AE25" s="12">
        <f>IFERROR(macrs($D$3,$D$4,$AG25,$T25,TRUE),1)</f>
        <v>0.88632663543449386</v>
      </c>
      <c r="AG25" s="7">
        <v>0</v>
      </c>
    </row>
    <row r="26" spans="2:33" x14ac:dyDescent="0.25">
      <c r="B26" s="6">
        <v>14</v>
      </c>
      <c r="C26" s="8">
        <v>0</v>
      </c>
      <c r="D26" s="2">
        <f t="shared" si="5"/>
        <v>0</v>
      </c>
      <c r="E26" s="2">
        <f t="shared" si="4"/>
        <v>6</v>
      </c>
      <c r="F26" s="2">
        <f t="shared" si="4"/>
        <v>7</v>
      </c>
      <c r="G26" s="2">
        <f t="shared" si="4"/>
        <v>8</v>
      </c>
      <c r="H26" s="2">
        <f t="shared" si="4"/>
        <v>9</v>
      </c>
      <c r="I26" s="2"/>
      <c r="K26" s="6">
        <v>14</v>
      </c>
      <c r="L26" s="2">
        <f>C26*$AC26</f>
        <v>0</v>
      </c>
      <c r="M26" s="2">
        <f>D26*$AC26</f>
        <v>0</v>
      </c>
      <c r="N26" s="2">
        <f>E26*$AC26</f>
        <v>2.0250000000000004</v>
      </c>
      <c r="O26" s="2">
        <f>F26*$AC26</f>
        <v>2.3625000000000003</v>
      </c>
      <c r="P26" s="2">
        <f>G26*$AC26</f>
        <v>2.7</v>
      </c>
      <c r="Q26" s="2">
        <f>H26*$AC26</f>
        <v>3.0375000000000001</v>
      </c>
      <c r="T26" s="6">
        <v>14</v>
      </c>
      <c r="U26" s="2">
        <f>$AE26*C26</f>
        <v>0</v>
      </c>
      <c r="V26" s="2">
        <f>$AE26*D26</f>
        <v>0</v>
      </c>
      <c r="W26" s="2">
        <f>$AE26*E26</f>
        <v>5.5907758875641775</v>
      </c>
      <c r="X26" s="2">
        <f>$AE26*F26</f>
        <v>6.5225718688248744</v>
      </c>
      <c r="Y26" s="2">
        <f>$AE26*G26</f>
        <v>7.4543678500855703</v>
      </c>
      <c r="Z26" s="2">
        <f>$AE26*H26</f>
        <v>8.3861638313462663</v>
      </c>
      <c r="AA26" s="2"/>
      <c r="AC26" s="11">
        <f>MIN(1,($K26-(1-$D$4))/$D$2)</f>
        <v>0.33750000000000002</v>
      </c>
      <c r="AE26" s="12">
        <f>IFERROR(macrs($D$3,$D$4,$AG26,$T26,TRUE),1)</f>
        <v>0.93179598126069629</v>
      </c>
      <c r="AG26" s="7">
        <v>0</v>
      </c>
    </row>
    <row r="27" spans="2:33" x14ac:dyDescent="0.25">
      <c r="B27" s="6">
        <v>15</v>
      </c>
      <c r="C27" s="8">
        <v>31</v>
      </c>
      <c r="D27" s="2">
        <f t="shared" si="5"/>
        <v>0</v>
      </c>
      <c r="E27" s="2">
        <f t="shared" si="4"/>
        <v>0</v>
      </c>
      <c r="F27" s="2">
        <f t="shared" si="4"/>
        <v>6</v>
      </c>
      <c r="G27" s="2">
        <f t="shared" si="4"/>
        <v>7</v>
      </c>
      <c r="H27" s="2">
        <f t="shared" si="4"/>
        <v>8</v>
      </c>
      <c r="I27" s="2"/>
      <c r="K27" s="6">
        <v>15</v>
      </c>
      <c r="L27" s="2">
        <f>C27*$AC27</f>
        <v>11.237499999999999</v>
      </c>
      <c r="M27" s="2">
        <f>D27*$AC27</f>
        <v>0</v>
      </c>
      <c r="N27" s="2">
        <f>E27*$AC27</f>
        <v>0</v>
      </c>
      <c r="O27" s="2">
        <f>F27*$AC27</f>
        <v>2.1749999999999998</v>
      </c>
      <c r="P27" s="2">
        <f>G27*$AC27</f>
        <v>2.5375000000000001</v>
      </c>
      <c r="Q27" s="2">
        <f>H27*$AC27</f>
        <v>2.9</v>
      </c>
      <c r="T27" s="6">
        <v>15</v>
      </c>
      <c r="U27" s="2">
        <f>$AE27*C27</f>
        <v>30.295225139693862</v>
      </c>
      <c r="V27" s="2">
        <f>$AE27*D27</f>
        <v>0</v>
      </c>
      <c r="W27" s="2">
        <f>$AE27*E27</f>
        <v>0</v>
      </c>
      <c r="X27" s="2">
        <f>$AE27*F27</f>
        <v>5.8635919625213919</v>
      </c>
      <c r="Y27" s="2">
        <f>$AE27*G27</f>
        <v>6.8408572896082909</v>
      </c>
      <c r="Z27" s="2">
        <f>$AE27*H27</f>
        <v>7.8181226166951898</v>
      </c>
      <c r="AA27" s="2"/>
      <c r="AC27" s="11">
        <f>MIN(1,($K27-(1-$D$4))/$D$2)</f>
        <v>0.36249999999999999</v>
      </c>
      <c r="AE27" s="12">
        <f>IFERROR(macrs($D$3,$D$4,$AG27,$T27,TRUE),1)</f>
        <v>0.97726532708689873</v>
      </c>
      <c r="AG27" s="7">
        <v>0</v>
      </c>
    </row>
    <row r="28" spans="2:33" x14ac:dyDescent="0.25">
      <c r="B28" s="6">
        <v>16</v>
      </c>
      <c r="C28" s="8">
        <v>0</v>
      </c>
      <c r="D28" s="2">
        <f t="shared" si="5"/>
        <v>31</v>
      </c>
      <c r="E28" s="2">
        <f t="shared" si="4"/>
        <v>0</v>
      </c>
      <c r="F28" s="2">
        <f t="shared" si="4"/>
        <v>0</v>
      </c>
      <c r="G28" s="2">
        <f t="shared" si="4"/>
        <v>6</v>
      </c>
      <c r="H28" s="2">
        <f t="shared" si="4"/>
        <v>7</v>
      </c>
      <c r="I28" s="2"/>
      <c r="K28" s="6">
        <v>16</v>
      </c>
      <c r="L28" s="2">
        <f>C28*$AC28</f>
        <v>0</v>
      </c>
      <c r="M28" s="2">
        <f>D28*$AC28</f>
        <v>12.012500000000001</v>
      </c>
      <c r="N28" s="2">
        <f>E28*$AC28</f>
        <v>0</v>
      </c>
      <c r="O28" s="2">
        <f>F28*$AC28</f>
        <v>0</v>
      </c>
      <c r="P28" s="2">
        <f>G28*$AC28</f>
        <v>2.3250000000000002</v>
      </c>
      <c r="Q28" s="2">
        <f>H28*$AC28</f>
        <v>2.7124999999999999</v>
      </c>
      <c r="T28" s="6">
        <v>16</v>
      </c>
      <c r="U28" s="2">
        <f>$AE28*C28</f>
        <v>0</v>
      </c>
      <c r="V28" s="2">
        <f>$AE28*D28</f>
        <v>31</v>
      </c>
      <c r="W28" s="2">
        <f>$AE28*E28</f>
        <v>0</v>
      </c>
      <c r="X28" s="2">
        <f>$AE28*F28</f>
        <v>0</v>
      </c>
      <c r="Y28" s="2">
        <f>$AE28*G28</f>
        <v>6</v>
      </c>
      <c r="Z28" s="2">
        <f>$AE28*H28</f>
        <v>7</v>
      </c>
      <c r="AA28" s="2"/>
      <c r="AC28" s="11">
        <f>MIN(1,($K28-(1-$D$4))/$D$2)</f>
        <v>0.38750000000000001</v>
      </c>
      <c r="AE28" s="12">
        <f>IFERROR(macrs($D$3,$D$4,$AG28,$T28,TRUE),1)</f>
        <v>1</v>
      </c>
      <c r="AG28" s="7">
        <v>0</v>
      </c>
    </row>
    <row r="29" spans="2:33" x14ac:dyDescent="0.25">
      <c r="B29" s="6">
        <v>17</v>
      </c>
      <c r="C29" s="8">
        <v>0</v>
      </c>
      <c r="D29" s="2">
        <f t="shared" si="5"/>
        <v>0</v>
      </c>
      <c r="E29" s="2">
        <f t="shared" si="4"/>
        <v>31</v>
      </c>
      <c r="F29" s="2">
        <f t="shared" si="4"/>
        <v>0</v>
      </c>
      <c r="G29" s="2">
        <f t="shared" si="4"/>
        <v>0</v>
      </c>
      <c r="H29" s="2">
        <f t="shared" si="4"/>
        <v>6</v>
      </c>
      <c r="I29" s="2"/>
      <c r="K29" s="6">
        <v>17</v>
      </c>
      <c r="L29" s="2">
        <f>C29*$AC29</f>
        <v>0</v>
      </c>
      <c r="M29" s="2">
        <f>D29*$AC29</f>
        <v>0</v>
      </c>
      <c r="N29" s="2">
        <f>E29*$AC29</f>
        <v>12.7875</v>
      </c>
      <c r="O29" s="2">
        <f>F29*$AC29</f>
        <v>0</v>
      </c>
      <c r="P29" s="2">
        <f>G29*$AC29</f>
        <v>0</v>
      </c>
      <c r="Q29" s="2">
        <f>H29*$AC29</f>
        <v>2.4749999999999996</v>
      </c>
      <c r="T29" s="6">
        <v>17</v>
      </c>
      <c r="U29" s="2">
        <f>$AE29*C29</f>
        <v>0</v>
      </c>
      <c r="V29" s="2">
        <f>$AE29*D29</f>
        <v>0</v>
      </c>
      <c r="W29" s="2">
        <f>$AE29*E29</f>
        <v>31</v>
      </c>
      <c r="X29" s="2">
        <f>$AE29*F29</f>
        <v>0</v>
      </c>
      <c r="Y29" s="2">
        <f>$AE29*G29</f>
        <v>0</v>
      </c>
      <c r="Z29" s="2">
        <f>$AE29*H29</f>
        <v>6</v>
      </c>
      <c r="AA29" s="2"/>
      <c r="AC29" s="11">
        <f>MIN(1,($K29-(1-$D$4))/$D$2)</f>
        <v>0.41249999999999998</v>
      </c>
      <c r="AE29" s="12">
        <f>IFERROR(macrs($D$3,$D$4,$AG29,$T29,TRUE),1)</f>
        <v>1</v>
      </c>
      <c r="AG29" s="7">
        <v>0</v>
      </c>
    </row>
    <row r="30" spans="2:33" x14ac:dyDescent="0.25">
      <c r="B30" s="6">
        <v>18</v>
      </c>
      <c r="C30" s="8">
        <v>0</v>
      </c>
      <c r="D30" s="2">
        <f t="shared" si="5"/>
        <v>0</v>
      </c>
      <c r="E30" s="2">
        <f t="shared" si="5"/>
        <v>0</v>
      </c>
      <c r="F30" s="2">
        <f t="shared" si="5"/>
        <v>31</v>
      </c>
      <c r="G30" s="2">
        <f t="shared" si="5"/>
        <v>0</v>
      </c>
      <c r="H30" s="2">
        <f t="shared" si="5"/>
        <v>0</v>
      </c>
      <c r="I30" s="2"/>
      <c r="K30" s="6">
        <v>18</v>
      </c>
      <c r="L30" s="2">
        <f>C30*$AC30</f>
        <v>0</v>
      </c>
      <c r="M30" s="2">
        <f>D30*$AC30</f>
        <v>0</v>
      </c>
      <c r="N30" s="2">
        <f>E30*$AC30</f>
        <v>0</v>
      </c>
      <c r="O30" s="2">
        <f>F30*$AC30</f>
        <v>13.5625</v>
      </c>
      <c r="P30" s="2">
        <f>G30*$AC30</f>
        <v>0</v>
      </c>
      <c r="Q30" s="2">
        <f>H30*$AC30</f>
        <v>0</v>
      </c>
      <c r="T30" s="6">
        <v>18</v>
      </c>
      <c r="U30" s="2">
        <f>$AE30*C30</f>
        <v>0</v>
      </c>
      <c r="V30" s="2">
        <f>$AE30*D30</f>
        <v>0</v>
      </c>
      <c r="W30" s="2">
        <f>$AE30*E30</f>
        <v>0</v>
      </c>
      <c r="X30" s="2">
        <f>$AE30*F30</f>
        <v>31</v>
      </c>
      <c r="Y30" s="2">
        <f>$AE30*G30</f>
        <v>0</v>
      </c>
      <c r="Z30" s="2">
        <f>$AE30*H30</f>
        <v>0</v>
      </c>
      <c r="AA30" s="2"/>
      <c r="AC30" s="11">
        <f>MIN(1,($K30-(1-$D$4))/$D$2)</f>
        <v>0.4375</v>
      </c>
      <c r="AE30" s="12">
        <f>IFERROR(macrs($D$3,$D$4,$AG30,$T30,TRUE),1)</f>
        <v>1</v>
      </c>
      <c r="AG30" s="7">
        <v>0</v>
      </c>
    </row>
    <row r="31" spans="2:33" x14ac:dyDescent="0.25">
      <c r="B31" s="6">
        <v>19</v>
      </c>
      <c r="C31" s="8">
        <v>4</v>
      </c>
      <c r="D31" s="2">
        <f t="shared" si="5"/>
        <v>0</v>
      </c>
      <c r="E31" s="2">
        <f t="shared" si="5"/>
        <v>0</v>
      </c>
      <c r="F31" s="2">
        <f t="shared" si="5"/>
        <v>0</v>
      </c>
      <c r="G31" s="2">
        <f t="shared" si="5"/>
        <v>31</v>
      </c>
      <c r="H31" s="2">
        <f t="shared" si="5"/>
        <v>0</v>
      </c>
      <c r="I31" s="2"/>
      <c r="K31" s="6">
        <v>19</v>
      </c>
      <c r="L31" s="2">
        <f>C31*$AC31</f>
        <v>1.85</v>
      </c>
      <c r="M31" s="2">
        <f>D31*$AC31</f>
        <v>0</v>
      </c>
      <c r="N31" s="2">
        <f>E31*$AC31</f>
        <v>0</v>
      </c>
      <c r="O31" s="2">
        <f>F31*$AC31</f>
        <v>0</v>
      </c>
      <c r="P31" s="2">
        <f>G31*$AC31</f>
        <v>14.3375</v>
      </c>
      <c r="Q31" s="2">
        <f>H31*$AC31</f>
        <v>0</v>
      </c>
      <c r="T31" s="6">
        <v>19</v>
      </c>
      <c r="U31" s="2">
        <f>$AE31*C31</f>
        <v>4</v>
      </c>
      <c r="V31" s="2">
        <f>$AE31*D31</f>
        <v>0</v>
      </c>
      <c r="W31" s="2">
        <f>$AE31*E31</f>
        <v>0</v>
      </c>
      <c r="X31" s="2">
        <f>$AE31*F31</f>
        <v>0</v>
      </c>
      <c r="Y31" s="2">
        <f>$AE31*G31</f>
        <v>31</v>
      </c>
      <c r="Z31" s="2">
        <f>$AE31*H31</f>
        <v>0</v>
      </c>
      <c r="AA31" s="2"/>
      <c r="AC31" s="11">
        <f>MIN(1,($K31-(1-$D$4))/$D$2)</f>
        <v>0.46250000000000002</v>
      </c>
      <c r="AE31" s="12">
        <f>IFERROR(macrs($D$3,$D$4,$AG31,$T31,TRUE),1)</f>
        <v>1</v>
      </c>
      <c r="AG31" s="7">
        <v>0</v>
      </c>
    </row>
    <row r="32" spans="2:33" x14ac:dyDescent="0.25">
      <c r="B32" s="6">
        <v>20</v>
      </c>
      <c r="C32" s="8">
        <v>4</v>
      </c>
      <c r="D32" s="2">
        <f t="shared" si="5"/>
        <v>4</v>
      </c>
      <c r="E32" s="2">
        <f t="shared" si="5"/>
        <v>0</v>
      </c>
      <c r="F32" s="2">
        <f t="shared" si="5"/>
        <v>0</v>
      </c>
      <c r="G32" s="2">
        <f t="shared" si="5"/>
        <v>0</v>
      </c>
      <c r="H32" s="2">
        <f t="shared" si="5"/>
        <v>31</v>
      </c>
      <c r="I32" s="2"/>
      <c r="K32" s="6">
        <v>20</v>
      </c>
      <c r="L32" s="2">
        <f>C32*$AC32</f>
        <v>1.95</v>
      </c>
      <c r="M32" s="2">
        <f>D32*$AC32</f>
        <v>1.95</v>
      </c>
      <c r="N32" s="2">
        <f>E32*$AC32</f>
        <v>0</v>
      </c>
      <c r="O32" s="2">
        <f>F32*$AC32</f>
        <v>0</v>
      </c>
      <c r="P32" s="2">
        <f>G32*$AC32</f>
        <v>0</v>
      </c>
      <c r="Q32" s="2">
        <f>H32*$AC32</f>
        <v>15.112499999999999</v>
      </c>
      <c r="T32" s="6">
        <v>20</v>
      </c>
      <c r="U32" s="2">
        <f>$AE32*C32</f>
        <v>4</v>
      </c>
      <c r="V32" s="2">
        <f>$AE32*D32</f>
        <v>4</v>
      </c>
      <c r="W32" s="2">
        <f>$AE32*E32</f>
        <v>0</v>
      </c>
      <c r="X32" s="2">
        <f>$AE32*F32</f>
        <v>0</v>
      </c>
      <c r="Y32" s="2">
        <f>$AE32*G32</f>
        <v>0</v>
      </c>
      <c r="Z32" s="2">
        <f>$AE32*H32</f>
        <v>31</v>
      </c>
      <c r="AA32" s="2"/>
      <c r="AC32" s="11">
        <f>MIN(1,($K32-(1-$D$4))/$D$2)</f>
        <v>0.48749999999999999</v>
      </c>
      <c r="AE32" s="12">
        <f>IFERROR(macrs($D$3,$D$4,$AG32,$T32,TRUE),1)</f>
        <v>1</v>
      </c>
      <c r="AG32" s="7">
        <v>0</v>
      </c>
    </row>
    <row r="33" spans="2:33" x14ac:dyDescent="0.25">
      <c r="B33" s="6">
        <v>21</v>
      </c>
      <c r="C33" s="8">
        <v>5</v>
      </c>
      <c r="D33" s="2">
        <f t="shared" si="5"/>
        <v>4</v>
      </c>
      <c r="E33" s="2">
        <f t="shared" si="5"/>
        <v>4</v>
      </c>
      <c r="F33" s="2">
        <f t="shared" si="5"/>
        <v>0</v>
      </c>
      <c r="G33" s="2">
        <f t="shared" si="5"/>
        <v>0</v>
      </c>
      <c r="H33" s="2">
        <f t="shared" si="5"/>
        <v>0</v>
      </c>
      <c r="I33" s="2"/>
      <c r="K33" s="6">
        <v>21</v>
      </c>
      <c r="L33" s="2">
        <f>C33*$AC33</f>
        <v>2.5625</v>
      </c>
      <c r="M33" s="2">
        <f>D33*$AC33</f>
        <v>2.0499999999999998</v>
      </c>
      <c r="N33" s="2">
        <f>E33*$AC33</f>
        <v>2.0499999999999998</v>
      </c>
      <c r="O33" s="2">
        <f>F33*$AC33</f>
        <v>0</v>
      </c>
      <c r="P33" s="2">
        <f>G33*$AC33</f>
        <v>0</v>
      </c>
      <c r="Q33" s="2">
        <f>H33*$AC33</f>
        <v>0</v>
      </c>
      <c r="T33" s="6">
        <v>21</v>
      </c>
      <c r="U33" s="2">
        <f>$AE33*C33</f>
        <v>5</v>
      </c>
      <c r="V33" s="2">
        <f>$AE33*D33</f>
        <v>4</v>
      </c>
      <c r="W33" s="2">
        <f>$AE33*E33</f>
        <v>4</v>
      </c>
      <c r="X33" s="2">
        <f>$AE33*F33</f>
        <v>0</v>
      </c>
      <c r="Y33" s="2">
        <f>$AE33*G33</f>
        <v>0</v>
      </c>
      <c r="Z33" s="2">
        <f>$AE33*H33</f>
        <v>0</v>
      </c>
      <c r="AA33" s="2"/>
      <c r="AC33" s="11">
        <f>MIN(1,($K33-(1-$D$4))/$D$2)</f>
        <v>0.51249999999999996</v>
      </c>
      <c r="AE33" s="12">
        <f>IFERROR(macrs($D$3,$D$4,$AG33,$T33,TRUE),1)</f>
        <v>1</v>
      </c>
      <c r="AG33" s="7">
        <v>0</v>
      </c>
    </row>
    <row r="34" spans="2:33" x14ac:dyDescent="0.25">
      <c r="B34" s="6">
        <v>22</v>
      </c>
      <c r="C34" s="8">
        <v>5</v>
      </c>
      <c r="D34" s="2">
        <f t="shared" si="5"/>
        <v>5</v>
      </c>
      <c r="E34" s="2">
        <f t="shared" si="5"/>
        <v>4</v>
      </c>
      <c r="F34" s="2">
        <f t="shared" si="5"/>
        <v>4</v>
      </c>
      <c r="G34" s="2">
        <f t="shared" si="5"/>
        <v>0</v>
      </c>
      <c r="H34" s="2">
        <f t="shared" si="5"/>
        <v>0</v>
      </c>
      <c r="I34" s="2"/>
      <c r="K34" s="6">
        <v>22</v>
      </c>
      <c r="L34" s="2">
        <f>C34*$AC34</f>
        <v>2.6875</v>
      </c>
      <c r="M34" s="2">
        <f>D34*$AC34</f>
        <v>2.6875</v>
      </c>
      <c r="N34" s="2">
        <f>E34*$AC34</f>
        <v>2.15</v>
      </c>
      <c r="O34" s="2">
        <f>F34*$AC34</f>
        <v>2.15</v>
      </c>
      <c r="P34" s="2">
        <f>G34*$AC34</f>
        <v>0</v>
      </c>
      <c r="Q34" s="2">
        <f>H34*$AC34</f>
        <v>0</v>
      </c>
      <c r="T34" s="6">
        <v>22</v>
      </c>
      <c r="U34" s="2">
        <f>$AE34*C34</f>
        <v>5</v>
      </c>
      <c r="V34" s="2">
        <f>$AE34*D34</f>
        <v>5</v>
      </c>
      <c r="W34" s="2">
        <f>$AE34*E34</f>
        <v>4</v>
      </c>
      <c r="X34" s="2">
        <f>$AE34*F34</f>
        <v>4</v>
      </c>
      <c r="Y34" s="2">
        <f>$AE34*G34</f>
        <v>0</v>
      </c>
      <c r="Z34" s="2">
        <f>$AE34*H34</f>
        <v>0</v>
      </c>
      <c r="AA34" s="2"/>
      <c r="AC34" s="11">
        <f>MIN(1,($K34-(1-$D$4))/$D$2)</f>
        <v>0.53749999999999998</v>
      </c>
      <c r="AE34" s="12">
        <f>IFERROR(macrs($D$3,$D$4,$AG34,$T34,TRUE),1)</f>
        <v>1</v>
      </c>
      <c r="AG34" s="7">
        <v>0</v>
      </c>
    </row>
    <row r="35" spans="2:33" x14ac:dyDescent="0.25">
      <c r="B35" s="6">
        <v>23</v>
      </c>
      <c r="C35" s="8">
        <v>5</v>
      </c>
      <c r="D35" s="2">
        <f t="shared" si="5"/>
        <v>5</v>
      </c>
      <c r="E35" s="2">
        <f t="shared" si="5"/>
        <v>5</v>
      </c>
      <c r="F35" s="2">
        <f t="shared" si="5"/>
        <v>4</v>
      </c>
      <c r="G35" s="2">
        <f t="shared" si="5"/>
        <v>4</v>
      </c>
      <c r="H35" s="2">
        <f t="shared" si="5"/>
        <v>0</v>
      </c>
      <c r="I35" s="2"/>
      <c r="K35" s="6">
        <v>23</v>
      </c>
      <c r="L35" s="2">
        <f>C35*$AC35</f>
        <v>2.8125</v>
      </c>
      <c r="M35" s="2">
        <f>D35*$AC35</f>
        <v>2.8125</v>
      </c>
      <c r="N35" s="2">
        <f>E35*$AC35</f>
        <v>2.8125</v>
      </c>
      <c r="O35" s="2">
        <f>F35*$AC35</f>
        <v>2.25</v>
      </c>
      <c r="P35" s="2">
        <f>G35*$AC35</f>
        <v>2.25</v>
      </c>
      <c r="Q35" s="2">
        <f>H35*$AC35</f>
        <v>0</v>
      </c>
      <c r="T35" s="6">
        <v>23</v>
      </c>
      <c r="U35" s="2">
        <f>$AE35*C35</f>
        <v>5</v>
      </c>
      <c r="V35" s="2">
        <f>$AE35*D35</f>
        <v>5</v>
      </c>
      <c r="W35" s="2">
        <f>$AE35*E35</f>
        <v>5</v>
      </c>
      <c r="X35" s="2">
        <f>$AE35*F35</f>
        <v>4</v>
      </c>
      <c r="Y35" s="2">
        <f>$AE35*G35</f>
        <v>4</v>
      </c>
      <c r="Z35" s="2">
        <f>$AE35*H35</f>
        <v>0</v>
      </c>
      <c r="AA35" s="2"/>
      <c r="AC35" s="11">
        <f>MIN(1,($K35-(1-$D$4))/$D$2)</f>
        <v>0.5625</v>
      </c>
      <c r="AE35" s="12">
        <f>IFERROR(macrs($D$3,$D$4,$AG35,$T35,TRUE),1)</f>
        <v>1</v>
      </c>
      <c r="AG35" s="7">
        <v>0</v>
      </c>
    </row>
    <row r="36" spans="2:33" x14ac:dyDescent="0.25">
      <c r="B36" s="6">
        <v>24</v>
      </c>
      <c r="C36" s="8">
        <v>5</v>
      </c>
      <c r="D36" s="2">
        <f t="shared" si="5"/>
        <v>5</v>
      </c>
      <c r="E36" s="2">
        <f t="shared" si="5"/>
        <v>5</v>
      </c>
      <c r="F36" s="2">
        <f t="shared" si="5"/>
        <v>5</v>
      </c>
      <c r="G36" s="2">
        <f t="shared" si="5"/>
        <v>4</v>
      </c>
      <c r="H36" s="2">
        <f t="shared" si="5"/>
        <v>4</v>
      </c>
      <c r="I36" s="2"/>
      <c r="K36" s="6">
        <v>24</v>
      </c>
      <c r="L36" s="2">
        <f>C36*$AC36</f>
        <v>2.9375</v>
      </c>
      <c r="M36" s="2">
        <f>D36*$AC36</f>
        <v>2.9375</v>
      </c>
      <c r="N36" s="2">
        <f>E36*$AC36</f>
        <v>2.9375</v>
      </c>
      <c r="O36" s="2">
        <f>F36*$AC36</f>
        <v>2.9375</v>
      </c>
      <c r="P36" s="2">
        <f>G36*$AC36</f>
        <v>2.35</v>
      </c>
      <c r="Q36" s="2">
        <f>H36*$AC36</f>
        <v>2.35</v>
      </c>
      <c r="T36" s="6">
        <v>24</v>
      </c>
      <c r="U36" s="2">
        <f>$AE36*C36</f>
        <v>5</v>
      </c>
      <c r="V36" s="2">
        <f>$AE36*D36</f>
        <v>5</v>
      </c>
      <c r="W36" s="2">
        <f>$AE36*E36</f>
        <v>5</v>
      </c>
      <c r="X36" s="2">
        <f>$AE36*F36</f>
        <v>5</v>
      </c>
      <c r="Y36" s="2">
        <f>$AE36*G36</f>
        <v>4</v>
      </c>
      <c r="Z36" s="2">
        <f>$AE36*H36</f>
        <v>4</v>
      </c>
      <c r="AA36" s="2"/>
      <c r="AC36" s="11">
        <f>MIN(1,($K36-(1-$D$4))/$D$2)</f>
        <v>0.58750000000000002</v>
      </c>
      <c r="AE36" s="12">
        <f>IFERROR(macrs($D$3,$D$4,$AG36,$T36,TRUE),1)</f>
        <v>1</v>
      </c>
      <c r="AG36" s="7">
        <v>0</v>
      </c>
    </row>
    <row r="37" spans="2:33" x14ac:dyDescent="0.25">
      <c r="B37" s="6">
        <v>25</v>
      </c>
      <c r="C37" s="8">
        <v>5</v>
      </c>
      <c r="D37" s="2">
        <f t="shared" si="5"/>
        <v>5</v>
      </c>
      <c r="E37" s="2">
        <f t="shared" si="5"/>
        <v>5</v>
      </c>
      <c r="F37" s="2">
        <f t="shared" si="5"/>
        <v>5</v>
      </c>
      <c r="G37" s="2">
        <f t="shared" si="5"/>
        <v>5</v>
      </c>
      <c r="H37" s="2">
        <f t="shared" si="5"/>
        <v>4</v>
      </c>
      <c r="I37" s="2"/>
      <c r="K37" s="6">
        <v>25</v>
      </c>
      <c r="L37" s="2">
        <f>C37*$AC37</f>
        <v>3.0625</v>
      </c>
      <c r="M37" s="2">
        <f>D37*$AC37</f>
        <v>3.0625</v>
      </c>
      <c r="N37" s="2">
        <f>E37*$AC37</f>
        <v>3.0625</v>
      </c>
      <c r="O37" s="2">
        <f>F37*$AC37</f>
        <v>3.0625</v>
      </c>
      <c r="P37" s="2">
        <f>G37*$AC37</f>
        <v>3.0625</v>
      </c>
      <c r="Q37" s="2">
        <f>H37*$AC37</f>
        <v>2.4500000000000002</v>
      </c>
      <c r="T37" s="6">
        <v>25</v>
      </c>
      <c r="U37" s="2">
        <f>$AE37*C37</f>
        <v>5</v>
      </c>
      <c r="V37" s="2">
        <f>$AE37*D37</f>
        <v>5</v>
      </c>
      <c r="W37" s="2">
        <f>$AE37*E37</f>
        <v>5</v>
      </c>
      <c r="X37" s="2">
        <f>$AE37*F37</f>
        <v>5</v>
      </c>
      <c r="Y37" s="2">
        <f>$AE37*G37</f>
        <v>5</v>
      </c>
      <c r="Z37" s="2">
        <f>$AE37*H37</f>
        <v>4</v>
      </c>
      <c r="AA37" s="2"/>
      <c r="AC37" s="11">
        <f>MIN(1,($K37-(1-$D$4))/$D$2)</f>
        <v>0.61250000000000004</v>
      </c>
      <c r="AE37" s="12">
        <f>IFERROR(macrs($D$3,$D$4,$AG37,$T37,TRUE),1)</f>
        <v>1</v>
      </c>
      <c r="AG37" s="7">
        <v>0</v>
      </c>
    </row>
    <row r="38" spans="2:33" x14ac:dyDescent="0.25">
      <c r="B38" s="6">
        <v>26</v>
      </c>
      <c r="C38" s="8">
        <v>6</v>
      </c>
      <c r="D38" s="2">
        <f t="shared" si="5"/>
        <v>5</v>
      </c>
      <c r="E38" s="2">
        <f t="shared" si="5"/>
        <v>5</v>
      </c>
      <c r="F38" s="2">
        <f t="shared" si="5"/>
        <v>5</v>
      </c>
      <c r="G38" s="2">
        <f t="shared" si="5"/>
        <v>5</v>
      </c>
      <c r="H38" s="2">
        <f t="shared" si="5"/>
        <v>5</v>
      </c>
      <c r="I38" s="2"/>
      <c r="K38" s="6">
        <v>26</v>
      </c>
      <c r="L38" s="2">
        <f>C38*$AC38</f>
        <v>3.8249999999999997</v>
      </c>
      <c r="M38" s="2">
        <f>D38*$AC38</f>
        <v>3.1875</v>
      </c>
      <c r="N38" s="2">
        <f>E38*$AC38</f>
        <v>3.1875</v>
      </c>
      <c r="O38" s="2">
        <f>F38*$AC38</f>
        <v>3.1875</v>
      </c>
      <c r="P38" s="2">
        <f>G38*$AC38</f>
        <v>3.1875</v>
      </c>
      <c r="Q38" s="2">
        <f>H38*$AC38</f>
        <v>3.1875</v>
      </c>
      <c r="T38" s="6">
        <v>26</v>
      </c>
      <c r="U38" s="2">
        <f>$AE38*C38</f>
        <v>6</v>
      </c>
      <c r="V38" s="2">
        <f>$AE38*D38</f>
        <v>5</v>
      </c>
      <c r="W38" s="2">
        <f>$AE38*E38</f>
        <v>5</v>
      </c>
      <c r="X38" s="2">
        <f>$AE38*F38</f>
        <v>5</v>
      </c>
      <c r="Y38" s="2">
        <f>$AE38*G38</f>
        <v>5</v>
      </c>
      <c r="Z38" s="2">
        <f>$AE38*H38</f>
        <v>5</v>
      </c>
      <c r="AA38" s="2"/>
      <c r="AC38" s="11">
        <f>MIN(1,($K38-(1-$D$4))/$D$2)</f>
        <v>0.63749999999999996</v>
      </c>
      <c r="AE38" s="12">
        <f>IFERROR(macrs($D$3,$D$4,$AG38,$T38,TRUE),1)</f>
        <v>1</v>
      </c>
      <c r="AG38" s="7">
        <v>0</v>
      </c>
    </row>
    <row r="39" spans="2:33" x14ac:dyDescent="0.25">
      <c r="B39" s="6">
        <v>27</v>
      </c>
      <c r="C39" s="8">
        <v>6</v>
      </c>
      <c r="D39" s="2">
        <f t="shared" si="5"/>
        <v>6</v>
      </c>
      <c r="E39" s="2">
        <f t="shared" si="5"/>
        <v>5</v>
      </c>
      <c r="F39" s="2">
        <f t="shared" si="5"/>
        <v>5</v>
      </c>
      <c r="G39" s="2">
        <f t="shared" si="5"/>
        <v>5</v>
      </c>
      <c r="H39" s="2">
        <f t="shared" si="5"/>
        <v>5</v>
      </c>
      <c r="I39" s="2"/>
      <c r="K39" s="6">
        <v>27</v>
      </c>
      <c r="L39" s="2">
        <f>C39*$AC39</f>
        <v>3.9749999999999996</v>
      </c>
      <c r="M39" s="2">
        <f>D39*$AC39</f>
        <v>3.9749999999999996</v>
      </c>
      <c r="N39" s="2">
        <f>E39*$AC39</f>
        <v>3.3125</v>
      </c>
      <c r="O39" s="2">
        <f>F39*$AC39</f>
        <v>3.3125</v>
      </c>
      <c r="P39" s="2">
        <f>G39*$AC39</f>
        <v>3.3125</v>
      </c>
      <c r="Q39" s="2">
        <f>H39*$AC39</f>
        <v>3.3125</v>
      </c>
      <c r="T39" s="6">
        <v>27</v>
      </c>
      <c r="U39" s="2">
        <f>$AE39*C39</f>
        <v>6</v>
      </c>
      <c r="V39" s="2">
        <f>$AE39*D39</f>
        <v>6</v>
      </c>
      <c r="W39" s="2">
        <f>$AE39*E39</f>
        <v>5</v>
      </c>
      <c r="X39" s="2">
        <f>$AE39*F39</f>
        <v>5</v>
      </c>
      <c r="Y39" s="2">
        <f>$AE39*G39</f>
        <v>5</v>
      </c>
      <c r="Z39" s="2">
        <f>$AE39*H39</f>
        <v>5</v>
      </c>
      <c r="AA39" s="2"/>
      <c r="AC39" s="11">
        <f>MIN(1,($K39-(1-$D$4))/$D$2)</f>
        <v>0.66249999999999998</v>
      </c>
      <c r="AE39" s="12">
        <f>IFERROR(macrs($D$3,$D$4,$AG39,$T39,TRUE),1)</f>
        <v>1</v>
      </c>
      <c r="AG39" s="7">
        <v>0</v>
      </c>
    </row>
    <row r="40" spans="2:33" x14ac:dyDescent="0.25">
      <c r="B40" s="6">
        <v>28</v>
      </c>
      <c r="C40" s="8">
        <v>6</v>
      </c>
      <c r="D40" s="2">
        <f t="shared" si="5"/>
        <v>6</v>
      </c>
      <c r="E40" s="2">
        <f t="shared" si="5"/>
        <v>6</v>
      </c>
      <c r="F40" s="2">
        <f t="shared" si="5"/>
        <v>5</v>
      </c>
      <c r="G40" s="2">
        <f t="shared" si="5"/>
        <v>5</v>
      </c>
      <c r="H40" s="2">
        <f t="shared" si="5"/>
        <v>5</v>
      </c>
      <c r="I40" s="2"/>
      <c r="K40" s="6">
        <v>28</v>
      </c>
      <c r="L40" s="2">
        <f>C40*$AC40</f>
        <v>4.125</v>
      </c>
      <c r="M40" s="2">
        <f>D40*$AC40</f>
        <v>4.125</v>
      </c>
      <c r="N40" s="2">
        <f>E40*$AC40</f>
        <v>4.125</v>
      </c>
      <c r="O40" s="2">
        <f>F40*$AC40</f>
        <v>3.4375</v>
      </c>
      <c r="P40" s="2">
        <f>G40*$AC40</f>
        <v>3.4375</v>
      </c>
      <c r="Q40" s="2">
        <f>H40*$AC40</f>
        <v>3.4375</v>
      </c>
      <c r="T40" s="6">
        <v>28</v>
      </c>
      <c r="U40" s="2">
        <f>$AE40*C40</f>
        <v>6</v>
      </c>
      <c r="V40" s="2">
        <f>$AE40*D40</f>
        <v>6</v>
      </c>
      <c r="W40" s="2">
        <f>$AE40*E40</f>
        <v>6</v>
      </c>
      <c r="X40" s="2">
        <f>$AE40*F40</f>
        <v>5</v>
      </c>
      <c r="Y40" s="2">
        <f>$AE40*G40</f>
        <v>5</v>
      </c>
      <c r="Z40" s="2">
        <f>$AE40*H40</f>
        <v>5</v>
      </c>
      <c r="AA40" s="2"/>
      <c r="AC40" s="11">
        <f>MIN(1,($K40-(1-$D$4))/$D$2)</f>
        <v>0.6875</v>
      </c>
      <c r="AE40" s="12">
        <f>IFERROR(macrs($D$3,$D$4,$AG40,$T40,TRUE),1)</f>
        <v>1</v>
      </c>
      <c r="AG40" s="7">
        <v>0</v>
      </c>
    </row>
    <row r="41" spans="2:33" x14ac:dyDescent="0.25">
      <c r="B41" s="6">
        <v>29</v>
      </c>
      <c r="C41" s="8">
        <v>6</v>
      </c>
      <c r="D41" s="2">
        <f t="shared" si="5"/>
        <v>6</v>
      </c>
      <c r="E41" s="2">
        <f t="shared" si="5"/>
        <v>6</v>
      </c>
      <c r="F41" s="2">
        <f t="shared" si="5"/>
        <v>6</v>
      </c>
      <c r="G41" s="2">
        <f t="shared" si="5"/>
        <v>5</v>
      </c>
      <c r="H41" s="2">
        <f t="shared" si="5"/>
        <v>5</v>
      </c>
      <c r="I41" s="2"/>
      <c r="K41" s="6">
        <v>29</v>
      </c>
      <c r="L41" s="2">
        <f>C41*$AC41</f>
        <v>4.2750000000000004</v>
      </c>
      <c r="M41" s="2">
        <f>D41*$AC41</f>
        <v>4.2750000000000004</v>
      </c>
      <c r="N41" s="2">
        <f>E41*$AC41</f>
        <v>4.2750000000000004</v>
      </c>
      <c r="O41" s="2">
        <f>F41*$AC41</f>
        <v>4.2750000000000004</v>
      </c>
      <c r="P41" s="2">
        <f>G41*$AC41</f>
        <v>3.5625</v>
      </c>
      <c r="Q41" s="2">
        <f>H41*$AC41</f>
        <v>3.5625</v>
      </c>
      <c r="T41" s="6">
        <v>29</v>
      </c>
      <c r="U41" s="2">
        <f>$AE41*C41</f>
        <v>6</v>
      </c>
      <c r="V41" s="2">
        <f>$AE41*D41</f>
        <v>6</v>
      </c>
      <c r="W41" s="2">
        <f>$AE41*E41</f>
        <v>6</v>
      </c>
      <c r="X41" s="2">
        <f>$AE41*F41</f>
        <v>6</v>
      </c>
      <c r="Y41" s="2">
        <f>$AE41*G41</f>
        <v>5</v>
      </c>
      <c r="Z41" s="2">
        <f>$AE41*H41</f>
        <v>5</v>
      </c>
      <c r="AA41" s="2"/>
      <c r="AC41" s="11">
        <f>MIN(1,($K41-(1-$D$4))/$D$2)</f>
        <v>0.71250000000000002</v>
      </c>
      <c r="AE41" s="12">
        <f>IFERROR(macrs($D$3,$D$4,$AG41,$T41,TRUE),1)</f>
        <v>1</v>
      </c>
      <c r="AG41" s="7">
        <v>0</v>
      </c>
    </row>
    <row r="42" spans="2:33" x14ac:dyDescent="0.25">
      <c r="B42" s="6">
        <v>30</v>
      </c>
      <c r="C42" s="8">
        <v>6</v>
      </c>
      <c r="D42" s="2">
        <f t="shared" si="5"/>
        <v>6</v>
      </c>
      <c r="E42" s="2">
        <f t="shared" si="5"/>
        <v>6</v>
      </c>
      <c r="F42" s="2">
        <f t="shared" si="5"/>
        <v>6</v>
      </c>
      <c r="G42" s="2">
        <f t="shared" si="5"/>
        <v>6</v>
      </c>
      <c r="H42" s="2">
        <f t="shared" si="5"/>
        <v>5</v>
      </c>
      <c r="I42" s="2"/>
      <c r="K42" s="6">
        <v>30</v>
      </c>
      <c r="L42" s="2">
        <f>C42*$AC42</f>
        <v>4.4250000000000007</v>
      </c>
      <c r="M42" s="2">
        <f>D42*$AC42</f>
        <v>4.4250000000000007</v>
      </c>
      <c r="N42" s="2">
        <f>E42*$AC42</f>
        <v>4.4250000000000007</v>
      </c>
      <c r="O42" s="2">
        <f>F42*$AC42</f>
        <v>4.4250000000000007</v>
      </c>
      <c r="P42" s="2">
        <f>G42*$AC42</f>
        <v>4.4250000000000007</v>
      </c>
      <c r="Q42" s="2">
        <f>H42*$AC42</f>
        <v>3.6875</v>
      </c>
      <c r="T42" s="6">
        <v>30</v>
      </c>
      <c r="U42" s="2">
        <f>$AE42*C42</f>
        <v>6</v>
      </c>
      <c r="V42" s="2">
        <f>$AE42*D42</f>
        <v>6</v>
      </c>
      <c r="W42" s="2">
        <f>$AE42*E42</f>
        <v>6</v>
      </c>
      <c r="X42" s="2">
        <f>$AE42*F42</f>
        <v>6</v>
      </c>
      <c r="Y42" s="2">
        <f>$AE42*G42</f>
        <v>6</v>
      </c>
      <c r="Z42" s="2">
        <f>$AE42*H42</f>
        <v>5</v>
      </c>
      <c r="AA42" s="2"/>
      <c r="AC42" s="11">
        <f>MIN(1,($K42-(1-$D$4))/$D$2)</f>
        <v>0.73750000000000004</v>
      </c>
      <c r="AE42" s="12">
        <f>IFERROR(macrs($D$3,$D$4,$AG42,$T42,TRUE),1)</f>
        <v>1</v>
      </c>
      <c r="AG42" s="7">
        <v>0</v>
      </c>
    </row>
    <row r="43" spans="2:33" x14ac:dyDescent="0.25">
      <c r="B43" s="6">
        <v>31</v>
      </c>
      <c r="C43" s="8">
        <v>6</v>
      </c>
      <c r="D43" s="2">
        <f t="shared" si="5"/>
        <v>6</v>
      </c>
      <c r="E43" s="2">
        <f t="shared" si="5"/>
        <v>6</v>
      </c>
      <c r="F43" s="2">
        <f t="shared" si="5"/>
        <v>6</v>
      </c>
      <c r="G43" s="2">
        <f t="shared" si="5"/>
        <v>6</v>
      </c>
      <c r="H43" s="2">
        <f t="shared" si="5"/>
        <v>6</v>
      </c>
      <c r="I43" s="2"/>
      <c r="K43" s="6">
        <v>31</v>
      </c>
      <c r="L43" s="2">
        <f>C43*$AC43</f>
        <v>4.5749999999999993</v>
      </c>
      <c r="M43" s="2">
        <f>D43*$AC43</f>
        <v>4.5749999999999993</v>
      </c>
      <c r="N43" s="2">
        <f>E43*$AC43</f>
        <v>4.5749999999999993</v>
      </c>
      <c r="O43" s="2">
        <f>F43*$AC43</f>
        <v>4.5749999999999993</v>
      </c>
      <c r="P43" s="2">
        <f>G43*$AC43</f>
        <v>4.5749999999999993</v>
      </c>
      <c r="Q43" s="2">
        <f>H43*$AC43</f>
        <v>4.5749999999999993</v>
      </c>
      <c r="T43" s="6">
        <v>31</v>
      </c>
      <c r="U43" s="2">
        <f>$AE43*C43</f>
        <v>6</v>
      </c>
      <c r="V43" s="2">
        <f>$AE43*D43</f>
        <v>6</v>
      </c>
      <c r="W43" s="2">
        <f>$AE43*E43</f>
        <v>6</v>
      </c>
      <c r="X43" s="2">
        <f>$AE43*F43</f>
        <v>6</v>
      </c>
      <c r="Y43" s="2">
        <f>$AE43*G43</f>
        <v>6</v>
      </c>
      <c r="Z43" s="2">
        <f>$AE43*H43</f>
        <v>6</v>
      </c>
      <c r="AA43" s="2"/>
      <c r="AC43" s="11">
        <f>MIN(1,($K43-(1-$D$4))/$D$2)</f>
        <v>0.76249999999999996</v>
      </c>
      <c r="AE43" s="12">
        <f>IFERROR(macrs($D$3,$D$4,$AG43,$T43,TRUE),1)</f>
        <v>1</v>
      </c>
      <c r="AG43" s="7">
        <v>0</v>
      </c>
    </row>
    <row r="44" spans="2:33" x14ac:dyDescent="0.25">
      <c r="B44" s="6">
        <v>32</v>
      </c>
      <c r="C44" s="8">
        <v>6</v>
      </c>
      <c r="D44" s="2">
        <f t="shared" si="5"/>
        <v>6</v>
      </c>
      <c r="E44" s="2">
        <f t="shared" si="5"/>
        <v>6</v>
      </c>
      <c r="F44" s="2">
        <f t="shared" si="5"/>
        <v>6</v>
      </c>
      <c r="G44" s="2">
        <f t="shared" si="5"/>
        <v>6</v>
      </c>
      <c r="H44" s="2">
        <f t="shared" si="5"/>
        <v>6</v>
      </c>
      <c r="I44" s="2"/>
      <c r="K44" s="6">
        <v>32</v>
      </c>
      <c r="L44" s="2">
        <f>C44*$AC44</f>
        <v>4.7249999999999996</v>
      </c>
      <c r="M44" s="2">
        <f>D44*$AC44</f>
        <v>4.7249999999999996</v>
      </c>
      <c r="N44" s="2">
        <f>E44*$AC44</f>
        <v>4.7249999999999996</v>
      </c>
      <c r="O44" s="2">
        <f>F44*$AC44</f>
        <v>4.7249999999999996</v>
      </c>
      <c r="P44" s="2">
        <f>G44*$AC44</f>
        <v>4.7249999999999996</v>
      </c>
      <c r="Q44" s="2">
        <f>H44*$AC44</f>
        <v>4.7249999999999996</v>
      </c>
      <c r="T44" s="6">
        <v>32</v>
      </c>
      <c r="U44" s="2">
        <f>$AE44*C44</f>
        <v>6</v>
      </c>
      <c r="V44" s="2">
        <f>$AE44*D44</f>
        <v>6</v>
      </c>
      <c r="W44" s="2">
        <f>$AE44*E44</f>
        <v>6</v>
      </c>
      <c r="X44" s="2">
        <f>$AE44*F44</f>
        <v>6</v>
      </c>
      <c r="Y44" s="2">
        <f>$AE44*G44</f>
        <v>6</v>
      </c>
      <c r="Z44" s="2">
        <f>$AE44*H44</f>
        <v>6</v>
      </c>
      <c r="AA44" s="2"/>
      <c r="AC44" s="11">
        <f>MIN(1,($K44-(1-$D$4))/$D$2)</f>
        <v>0.78749999999999998</v>
      </c>
      <c r="AE44" s="12">
        <f>IFERROR(macrs($D$3,$D$4,$AG44,$T44,TRUE),1)</f>
        <v>1</v>
      </c>
      <c r="AG44" s="7">
        <v>0</v>
      </c>
    </row>
    <row r="45" spans="2:33" x14ac:dyDescent="0.25">
      <c r="B45" s="6">
        <v>33</v>
      </c>
      <c r="C45" s="8">
        <v>6</v>
      </c>
      <c r="D45" s="2">
        <f t="shared" si="5"/>
        <v>6</v>
      </c>
      <c r="E45" s="2">
        <f t="shared" si="5"/>
        <v>6</v>
      </c>
      <c r="F45" s="2">
        <f t="shared" si="5"/>
        <v>6</v>
      </c>
      <c r="G45" s="2">
        <f t="shared" si="5"/>
        <v>6</v>
      </c>
      <c r="H45" s="2">
        <f t="shared" si="5"/>
        <v>6</v>
      </c>
      <c r="I45" s="2"/>
      <c r="K45" s="6">
        <v>33</v>
      </c>
      <c r="L45" s="2">
        <f>C45*$AC45</f>
        <v>4.875</v>
      </c>
      <c r="M45" s="2">
        <f>D45*$AC45</f>
        <v>4.875</v>
      </c>
      <c r="N45" s="2">
        <f>E45*$AC45</f>
        <v>4.875</v>
      </c>
      <c r="O45" s="2">
        <f>F45*$AC45</f>
        <v>4.875</v>
      </c>
      <c r="P45" s="2">
        <f>G45*$AC45</f>
        <v>4.875</v>
      </c>
      <c r="Q45" s="2">
        <f>H45*$AC45</f>
        <v>4.875</v>
      </c>
      <c r="T45" s="6">
        <v>33</v>
      </c>
      <c r="U45" s="2">
        <f>$AE45*C45</f>
        <v>6</v>
      </c>
      <c r="V45" s="2">
        <f>$AE45*D45</f>
        <v>6</v>
      </c>
      <c r="W45" s="2">
        <f>$AE45*E45</f>
        <v>6</v>
      </c>
      <c r="X45" s="2">
        <f>$AE45*F45</f>
        <v>6</v>
      </c>
      <c r="Y45" s="2">
        <f>$AE45*G45</f>
        <v>6</v>
      </c>
      <c r="Z45" s="2">
        <f>$AE45*H45</f>
        <v>6</v>
      </c>
      <c r="AA45" s="2"/>
      <c r="AC45" s="11">
        <f>MIN(1,($K45-(1-$D$4))/$D$2)</f>
        <v>0.8125</v>
      </c>
      <c r="AE45" s="12">
        <f>IFERROR(macrs($D$3,$D$4,$AG45,$T45,TRUE),1)</f>
        <v>1</v>
      </c>
      <c r="AG45" s="7">
        <v>0</v>
      </c>
    </row>
    <row r="46" spans="2:33" x14ac:dyDescent="0.25">
      <c r="B46" s="6">
        <v>34</v>
      </c>
      <c r="C46" s="8">
        <v>6</v>
      </c>
      <c r="D46" s="2">
        <f t="shared" si="5"/>
        <v>6</v>
      </c>
      <c r="E46" s="2">
        <f t="shared" si="5"/>
        <v>6</v>
      </c>
      <c r="F46" s="2">
        <f t="shared" si="5"/>
        <v>6</v>
      </c>
      <c r="G46" s="2">
        <f t="shared" si="5"/>
        <v>6</v>
      </c>
      <c r="H46" s="2">
        <f t="shared" si="5"/>
        <v>6</v>
      </c>
      <c r="I46" s="2"/>
      <c r="K46" s="6">
        <v>34</v>
      </c>
      <c r="L46" s="2">
        <f>C46*$AC46</f>
        <v>5.0250000000000004</v>
      </c>
      <c r="M46" s="2">
        <f>D46*$AC46</f>
        <v>5.0250000000000004</v>
      </c>
      <c r="N46" s="2">
        <f>E46*$AC46</f>
        <v>5.0250000000000004</v>
      </c>
      <c r="O46" s="2">
        <f>F46*$AC46</f>
        <v>5.0250000000000004</v>
      </c>
      <c r="P46" s="2">
        <f>G46*$AC46</f>
        <v>5.0250000000000004</v>
      </c>
      <c r="Q46" s="2">
        <f>H46*$AC46</f>
        <v>5.0250000000000004</v>
      </c>
      <c r="T46" s="6">
        <v>34</v>
      </c>
      <c r="U46" s="2">
        <f>$AE46*C46</f>
        <v>6</v>
      </c>
      <c r="V46" s="2">
        <f>$AE46*D46</f>
        <v>6</v>
      </c>
      <c r="W46" s="2">
        <f>$AE46*E46</f>
        <v>6</v>
      </c>
      <c r="X46" s="2">
        <f>$AE46*F46</f>
        <v>6</v>
      </c>
      <c r="Y46" s="2">
        <f>$AE46*G46</f>
        <v>6</v>
      </c>
      <c r="Z46" s="2">
        <f>$AE46*H46</f>
        <v>6</v>
      </c>
      <c r="AA46" s="2"/>
      <c r="AC46" s="11">
        <f>MIN(1,($K46-(1-$D$4))/$D$2)</f>
        <v>0.83750000000000002</v>
      </c>
      <c r="AE46" s="12">
        <f>IFERROR(macrs($D$3,$D$4,$AG46,$T46,TRUE),1)</f>
        <v>1</v>
      </c>
      <c r="AG46" s="7">
        <v>0</v>
      </c>
    </row>
    <row r="47" spans="2:33" x14ac:dyDescent="0.25">
      <c r="B47" s="6">
        <v>35</v>
      </c>
      <c r="C47" s="8">
        <v>6</v>
      </c>
      <c r="D47" s="2">
        <f t="shared" si="5"/>
        <v>6</v>
      </c>
      <c r="E47" s="2">
        <f t="shared" si="5"/>
        <v>6</v>
      </c>
      <c r="F47" s="2">
        <f t="shared" si="5"/>
        <v>6</v>
      </c>
      <c r="G47" s="2">
        <f t="shared" si="5"/>
        <v>6</v>
      </c>
      <c r="H47" s="2">
        <f t="shared" si="5"/>
        <v>6</v>
      </c>
      <c r="I47" s="2"/>
      <c r="K47" s="6">
        <v>35</v>
      </c>
      <c r="L47" s="2">
        <f>C47*$AC47</f>
        <v>5.1750000000000007</v>
      </c>
      <c r="M47" s="2">
        <f>D47*$AC47</f>
        <v>5.1750000000000007</v>
      </c>
      <c r="N47" s="2">
        <f>E47*$AC47</f>
        <v>5.1750000000000007</v>
      </c>
      <c r="O47" s="2">
        <f>F47*$AC47</f>
        <v>5.1750000000000007</v>
      </c>
      <c r="P47" s="2">
        <f>G47*$AC47</f>
        <v>5.1750000000000007</v>
      </c>
      <c r="Q47" s="2">
        <f>H47*$AC47</f>
        <v>5.1750000000000007</v>
      </c>
      <c r="T47" s="6">
        <v>35</v>
      </c>
      <c r="U47" s="2">
        <f>$AE47*C47</f>
        <v>6</v>
      </c>
      <c r="V47" s="2">
        <f>$AE47*D47</f>
        <v>6</v>
      </c>
      <c r="W47" s="2">
        <f>$AE47*E47</f>
        <v>6</v>
      </c>
      <c r="X47" s="2">
        <f>$AE47*F47</f>
        <v>6</v>
      </c>
      <c r="Y47" s="2">
        <f>$AE47*G47</f>
        <v>6</v>
      </c>
      <c r="Z47" s="2">
        <f>$AE47*H47</f>
        <v>6</v>
      </c>
      <c r="AA47" s="2"/>
      <c r="AC47" s="11">
        <f>MIN(1,($K47-(1-$D$4))/$D$2)</f>
        <v>0.86250000000000004</v>
      </c>
      <c r="AE47" s="12">
        <f>IFERROR(macrs($D$3,$D$4,$AG47,$T47,TRUE),1)</f>
        <v>1</v>
      </c>
      <c r="AG47" s="7">
        <v>0</v>
      </c>
    </row>
    <row r="48" spans="2:33" x14ac:dyDescent="0.25">
      <c r="B48" s="6">
        <v>36</v>
      </c>
      <c r="C48" s="8">
        <v>6</v>
      </c>
      <c r="D48" s="2">
        <f t="shared" si="5"/>
        <v>6</v>
      </c>
      <c r="E48" s="2">
        <f t="shared" si="5"/>
        <v>6</v>
      </c>
      <c r="F48" s="2">
        <f t="shared" si="5"/>
        <v>6</v>
      </c>
      <c r="G48" s="2">
        <f t="shared" si="5"/>
        <v>6</v>
      </c>
      <c r="H48" s="2">
        <f t="shared" si="5"/>
        <v>6</v>
      </c>
      <c r="I48" s="2"/>
      <c r="K48" s="6">
        <v>36</v>
      </c>
      <c r="L48" s="2">
        <f>C48*$AC48</f>
        <v>5.3249999999999993</v>
      </c>
      <c r="M48" s="2">
        <f>D48*$AC48</f>
        <v>5.3249999999999993</v>
      </c>
      <c r="N48" s="2">
        <f>E48*$AC48</f>
        <v>5.3249999999999993</v>
      </c>
      <c r="O48" s="2">
        <f>F48*$AC48</f>
        <v>5.3249999999999993</v>
      </c>
      <c r="P48" s="2">
        <f>G48*$AC48</f>
        <v>5.3249999999999993</v>
      </c>
      <c r="Q48" s="2">
        <f>H48*$AC48</f>
        <v>5.3249999999999993</v>
      </c>
      <c r="T48" s="6">
        <v>36</v>
      </c>
      <c r="U48" s="2">
        <f>$AE48*C48</f>
        <v>6</v>
      </c>
      <c r="V48" s="2">
        <f>$AE48*D48</f>
        <v>6</v>
      </c>
      <c r="W48" s="2">
        <f>$AE48*E48</f>
        <v>6</v>
      </c>
      <c r="X48" s="2">
        <f>$AE48*F48</f>
        <v>6</v>
      </c>
      <c r="Y48" s="2">
        <f>$AE48*G48</f>
        <v>6</v>
      </c>
      <c r="Z48" s="2">
        <f>$AE48*H48</f>
        <v>6</v>
      </c>
      <c r="AA48" s="2"/>
      <c r="AC48" s="11">
        <f>MIN(1,($K48-(1-$D$4))/$D$2)</f>
        <v>0.88749999999999996</v>
      </c>
      <c r="AE48" s="12">
        <f>IFERROR(macrs($D$3,$D$4,$AG48,$T48,TRUE),1)</f>
        <v>1</v>
      </c>
      <c r="AG48" s="7">
        <v>0</v>
      </c>
    </row>
    <row r="49" spans="2:33" x14ac:dyDescent="0.25">
      <c r="B49" s="6">
        <v>37</v>
      </c>
      <c r="C49" s="8">
        <v>6</v>
      </c>
      <c r="D49" s="2">
        <f t="shared" si="5"/>
        <v>6</v>
      </c>
      <c r="E49" s="2">
        <f t="shared" si="5"/>
        <v>6</v>
      </c>
      <c r="F49" s="2">
        <f t="shared" si="5"/>
        <v>6</v>
      </c>
      <c r="G49" s="2">
        <f t="shared" si="5"/>
        <v>6</v>
      </c>
      <c r="H49" s="2">
        <f t="shared" si="5"/>
        <v>6</v>
      </c>
      <c r="I49" s="2"/>
      <c r="K49" s="6">
        <v>37</v>
      </c>
      <c r="L49" s="2">
        <f>C49*$AC49</f>
        <v>5.4749999999999996</v>
      </c>
      <c r="M49" s="2">
        <f>D49*$AC49</f>
        <v>5.4749999999999996</v>
      </c>
      <c r="N49" s="2">
        <f>E49*$AC49</f>
        <v>5.4749999999999996</v>
      </c>
      <c r="O49" s="2">
        <f>F49*$AC49</f>
        <v>5.4749999999999996</v>
      </c>
      <c r="P49" s="2">
        <f>G49*$AC49</f>
        <v>5.4749999999999996</v>
      </c>
      <c r="Q49" s="2">
        <f>H49*$AC49</f>
        <v>5.4749999999999996</v>
      </c>
      <c r="T49" s="6">
        <v>37</v>
      </c>
      <c r="U49" s="2">
        <f>$AE49*C49</f>
        <v>6</v>
      </c>
      <c r="V49" s="2">
        <f>$AE49*D49</f>
        <v>6</v>
      </c>
      <c r="W49" s="2">
        <f>$AE49*E49</f>
        <v>6</v>
      </c>
      <c r="X49" s="2">
        <f>$AE49*F49</f>
        <v>6</v>
      </c>
      <c r="Y49" s="2">
        <f>$AE49*G49</f>
        <v>6</v>
      </c>
      <c r="Z49" s="2">
        <f>$AE49*H49</f>
        <v>6</v>
      </c>
      <c r="AA49" s="2"/>
      <c r="AC49" s="11">
        <f>MIN(1,($K49-(1-$D$4))/$D$2)</f>
        <v>0.91249999999999998</v>
      </c>
      <c r="AE49" s="12">
        <f>IFERROR(macrs($D$3,$D$4,$AG49,$T49,TRUE),1)</f>
        <v>1</v>
      </c>
      <c r="AG49" s="7">
        <v>0</v>
      </c>
    </row>
    <row r="50" spans="2:33" x14ac:dyDescent="0.25">
      <c r="B50" s="6">
        <v>38</v>
      </c>
      <c r="C50" s="8">
        <v>6</v>
      </c>
      <c r="D50" s="2">
        <f t="shared" si="5"/>
        <v>6</v>
      </c>
      <c r="E50" s="2">
        <f t="shared" si="5"/>
        <v>6</v>
      </c>
      <c r="F50" s="2">
        <f t="shared" si="5"/>
        <v>6</v>
      </c>
      <c r="G50" s="2">
        <f t="shared" si="5"/>
        <v>6</v>
      </c>
      <c r="H50" s="2">
        <f t="shared" si="5"/>
        <v>6</v>
      </c>
      <c r="I50" s="2"/>
      <c r="K50" s="6">
        <v>38</v>
      </c>
      <c r="L50" s="2">
        <f>C50*$AC50</f>
        <v>5.625</v>
      </c>
      <c r="M50" s="2">
        <f>D50*$AC50</f>
        <v>5.625</v>
      </c>
      <c r="N50" s="2">
        <f>E50*$AC50</f>
        <v>5.625</v>
      </c>
      <c r="O50" s="2">
        <f>F50*$AC50</f>
        <v>5.625</v>
      </c>
      <c r="P50" s="2">
        <f>G50*$AC50</f>
        <v>5.625</v>
      </c>
      <c r="Q50" s="2">
        <f>H50*$AC50</f>
        <v>5.625</v>
      </c>
      <c r="T50" s="6">
        <v>38</v>
      </c>
      <c r="U50" s="2">
        <f>$AE50*C50</f>
        <v>6</v>
      </c>
      <c r="V50" s="2">
        <f>$AE50*D50</f>
        <v>6</v>
      </c>
      <c r="W50" s="2">
        <f>$AE50*E50</f>
        <v>6</v>
      </c>
      <c r="X50" s="2">
        <f>$AE50*F50</f>
        <v>6</v>
      </c>
      <c r="Y50" s="2">
        <f>$AE50*G50</f>
        <v>6</v>
      </c>
      <c r="Z50" s="2">
        <f>$AE50*H50</f>
        <v>6</v>
      </c>
      <c r="AA50" s="2"/>
      <c r="AC50" s="11">
        <f>MIN(1,($K50-(1-$D$4))/$D$2)</f>
        <v>0.9375</v>
      </c>
      <c r="AE50" s="12">
        <f>IFERROR(macrs($D$3,$D$4,$AG50,$T50,TRUE),1)</f>
        <v>1</v>
      </c>
      <c r="AG50" s="7">
        <v>0</v>
      </c>
    </row>
    <row r="51" spans="2:33" x14ac:dyDescent="0.25">
      <c r="B51" s="6">
        <v>39</v>
      </c>
      <c r="C51" s="8">
        <v>4</v>
      </c>
      <c r="D51" s="2">
        <f t="shared" si="5"/>
        <v>6</v>
      </c>
      <c r="E51" s="2">
        <f t="shared" si="5"/>
        <v>6</v>
      </c>
      <c r="F51" s="2">
        <f t="shared" si="5"/>
        <v>6</v>
      </c>
      <c r="G51" s="2">
        <f t="shared" si="5"/>
        <v>6</v>
      </c>
      <c r="H51" s="2">
        <f t="shared" si="5"/>
        <v>6</v>
      </c>
      <c r="I51" s="2"/>
      <c r="K51" s="6">
        <v>39</v>
      </c>
      <c r="L51" s="2">
        <f>C51*$AC51</f>
        <v>3.85</v>
      </c>
      <c r="M51" s="2">
        <f>D51*$AC51</f>
        <v>5.7750000000000004</v>
      </c>
      <c r="N51" s="2">
        <f>E51*$AC51</f>
        <v>5.7750000000000004</v>
      </c>
      <c r="O51" s="2">
        <f>F51*$AC51</f>
        <v>5.7750000000000004</v>
      </c>
      <c r="P51" s="2">
        <f>G51*$AC51</f>
        <v>5.7750000000000004</v>
      </c>
      <c r="Q51" s="2">
        <f>H51*$AC51</f>
        <v>5.7750000000000004</v>
      </c>
      <c r="T51" s="6">
        <v>39</v>
      </c>
      <c r="U51" s="2">
        <f>$AE51*C51</f>
        <v>4</v>
      </c>
      <c r="V51" s="2">
        <f>$AE51*D51</f>
        <v>6</v>
      </c>
      <c r="W51" s="2">
        <f>$AE51*E51</f>
        <v>6</v>
      </c>
      <c r="X51" s="2">
        <f>$AE51*F51</f>
        <v>6</v>
      </c>
      <c r="Y51" s="2">
        <f>$AE51*G51</f>
        <v>6</v>
      </c>
      <c r="Z51" s="2">
        <f>$AE51*H51</f>
        <v>6</v>
      </c>
      <c r="AA51" s="2"/>
      <c r="AC51" s="11">
        <f>MIN(1,($K51-(1-$D$4))/$D$2)</f>
        <v>0.96250000000000002</v>
      </c>
      <c r="AE51" s="12">
        <f>IFERROR(macrs($D$3,$D$4,$AG51,$T51,TRUE),1)</f>
        <v>1</v>
      </c>
      <c r="AG51" s="7">
        <v>0</v>
      </c>
    </row>
    <row r="52" spans="2:33" x14ac:dyDescent="0.25">
      <c r="B52" s="6">
        <v>40</v>
      </c>
      <c r="C52" s="8">
        <v>0</v>
      </c>
      <c r="D52" s="2">
        <f t="shared" si="5"/>
        <v>4</v>
      </c>
      <c r="E52" s="2">
        <f t="shared" si="5"/>
        <v>6</v>
      </c>
      <c r="F52" s="2">
        <f t="shared" si="5"/>
        <v>6</v>
      </c>
      <c r="G52" s="2">
        <f t="shared" si="5"/>
        <v>6</v>
      </c>
      <c r="H52" s="2">
        <f t="shared" si="5"/>
        <v>6</v>
      </c>
      <c r="I52" s="2"/>
      <c r="K52" s="6">
        <v>40</v>
      </c>
      <c r="L52" s="2">
        <f>C52*$AC52</f>
        <v>0</v>
      </c>
      <c r="M52" s="2">
        <f>D52*$AC52</f>
        <v>3.95</v>
      </c>
      <c r="N52" s="2">
        <f>E52*$AC52</f>
        <v>5.9250000000000007</v>
      </c>
      <c r="O52" s="2">
        <f>F52*$AC52</f>
        <v>5.9250000000000007</v>
      </c>
      <c r="P52" s="2">
        <f>G52*$AC52</f>
        <v>5.9250000000000007</v>
      </c>
      <c r="Q52" s="2">
        <f>H52*$AC52</f>
        <v>5.9250000000000007</v>
      </c>
      <c r="T52" s="6">
        <v>40</v>
      </c>
      <c r="U52" s="2">
        <f>$AE52*C52</f>
        <v>0</v>
      </c>
      <c r="V52" s="2">
        <f>$AE52*D52</f>
        <v>4</v>
      </c>
      <c r="W52" s="2">
        <f>$AE52*E52</f>
        <v>6</v>
      </c>
      <c r="X52" s="2">
        <f>$AE52*F52</f>
        <v>6</v>
      </c>
      <c r="Y52" s="2">
        <f>$AE52*G52</f>
        <v>6</v>
      </c>
      <c r="Z52" s="2">
        <f>$AE52*H52</f>
        <v>6</v>
      </c>
      <c r="AA52" s="2"/>
      <c r="AC52" s="11">
        <f>MIN(1,($K52-(1-$D$4))/$D$2)</f>
        <v>0.98750000000000004</v>
      </c>
      <c r="AE52" s="12">
        <f>IFERROR(macrs($D$3,$D$4,$AG52,$T52,TRUE),1)</f>
        <v>1</v>
      </c>
      <c r="AG52" s="7">
        <v>0</v>
      </c>
    </row>
    <row r="53" spans="2:33" x14ac:dyDescent="0.25">
      <c r="B53" s="6">
        <v>41</v>
      </c>
      <c r="C53" s="8">
        <v>0</v>
      </c>
      <c r="D53" s="2">
        <f t="shared" si="5"/>
        <v>0</v>
      </c>
      <c r="E53" s="2">
        <f t="shared" si="5"/>
        <v>4</v>
      </c>
      <c r="F53" s="2">
        <f t="shared" si="5"/>
        <v>6</v>
      </c>
      <c r="G53" s="2">
        <f t="shared" si="5"/>
        <v>6</v>
      </c>
      <c r="H53" s="2">
        <f t="shared" si="5"/>
        <v>6</v>
      </c>
      <c r="I53" s="2"/>
      <c r="K53" s="6">
        <v>41</v>
      </c>
      <c r="L53" s="2">
        <f>C53*$AC53</f>
        <v>0</v>
      </c>
      <c r="M53" s="2">
        <f>D53*$AC53</f>
        <v>0</v>
      </c>
      <c r="N53" s="2">
        <f>E53*$AC53</f>
        <v>4</v>
      </c>
      <c r="O53" s="2">
        <f>F53*$AC53</f>
        <v>6</v>
      </c>
      <c r="P53" s="2">
        <f>G53*$AC53</f>
        <v>6</v>
      </c>
      <c r="Q53" s="2">
        <f>H53*$AC53</f>
        <v>6</v>
      </c>
      <c r="T53" s="6">
        <v>41</v>
      </c>
      <c r="U53" s="2">
        <f>$AE53*C53</f>
        <v>0</v>
      </c>
      <c r="V53" s="2">
        <f>$AE53*D53</f>
        <v>0</v>
      </c>
      <c r="W53" s="2">
        <f>$AE53*E53</f>
        <v>4</v>
      </c>
      <c r="X53" s="2">
        <f>$AE53*F53</f>
        <v>6</v>
      </c>
      <c r="Y53" s="2">
        <f>$AE53*G53</f>
        <v>6</v>
      </c>
      <c r="Z53" s="2">
        <f>$AE53*H53</f>
        <v>6</v>
      </c>
      <c r="AA53" s="2"/>
      <c r="AC53" s="11">
        <f>MIN(1,($K53-(1-$D$4))/$D$2)</f>
        <v>1</v>
      </c>
      <c r="AE53" s="12">
        <f>IFERROR(macrs($D$3,$D$4,$AG53,$T53,TRUE),1)</f>
        <v>1</v>
      </c>
      <c r="AG53" s="7">
        <v>0</v>
      </c>
    </row>
    <row r="54" spans="2:33" s="54" customFormat="1" x14ac:dyDescent="0.25">
      <c r="B54" s="52">
        <v>42</v>
      </c>
      <c r="C54" s="53">
        <v>0</v>
      </c>
      <c r="D54" s="53">
        <f>C53+C54</f>
        <v>0</v>
      </c>
      <c r="E54" s="53">
        <f>D53+D54</f>
        <v>0</v>
      </c>
      <c r="F54" s="53">
        <f>E53+E54</f>
        <v>4</v>
      </c>
      <c r="G54" s="53">
        <f>F53+F54</f>
        <v>10</v>
      </c>
      <c r="H54" s="53">
        <f>G53+G54</f>
        <v>16</v>
      </c>
      <c r="I54" s="2"/>
      <c r="K54" s="52">
        <v>42</v>
      </c>
      <c r="L54" s="53">
        <f>C54*$AC54</f>
        <v>0</v>
      </c>
      <c r="M54" s="53">
        <f>D54*$AC54</f>
        <v>0</v>
      </c>
      <c r="N54" s="53">
        <f>E54*$AC54</f>
        <v>0</v>
      </c>
      <c r="O54" s="53">
        <f>F54*$AC54</f>
        <v>4</v>
      </c>
      <c r="P54" s="53">
        <f>G54*$AC54</f>
        <v>10</v>
      </c>
      <c r="Q54" s="53">
        <f>H54*$AC54</f>
        <v>16</v>
      </c>
      <c r="T54" s="52">
        <v>42</v>
      </c>
      <c r="U54" s="53">
        <f>$AE54*C54</f>
        <v>0</v>
      </c>
      <c r="V54" s="53">
        <f>$AE54*D54</f>
        <v>0</v>
      </c>
      <c r="W54" s="53">
        <f>$AE54*E54</f>
        <v>0</v>
      </c>
      <c r="X54" s="53">
        <f>$AE54*F54</f>
        <v>4</v>
      </c>
      <c r="Y54" s="53">
        <f>$AE54*G54</f>
        <v>10</v>
      </c>
      <c r="Z54" s="53">
        <f>$AE54*H54</f>
        <v>16</v>
      </c>
      <c r="AA54" s="53"/>
      <c r="AC54" s="55">
        <f>MIN(1,($K54-(1-$D$4))/$D$2)</f>
        <v>1</v>
      </c>
      <c r="AE54" s="56">
        <f>IFERROR(macrs($D$3,$D$4,$AG54,$T54,TRUE),1)</f>
        <v>1</v>
      </c>
    </row>
    <row r="55" spans="2:33" x14ac:dyDescent="0.25">
      <c r="B55" s="4" t="s">
        <v>91</v>
      </c>
      <c r="C55" s="16">
        <v>0</v>
      </c>
      <c r="D55" s="16">
        <f>C58</f>
        <v>1470</v>
      </c>
      <c r="E55" s="16">
        <f t="shared" ref="E55:H55" si="6">D58</f>
        <v>1570</v>
      </c>
      <c r="F55" s="16">
        <f t="shared" si="6"/>
        <v>1680</v>
      </c>
      <c r="G55" s="16">
        <f t="shared" si="6"/>
        <v>1801</v>
      </c>
      <c r="H55" s="16">
        <f t="shared" si="6"/>
        <v>1915</v>
      </c>
      <c r="I55" s="2"/>
      <c r="K55" s="4" t="s">
        <v>91</v>
      </c>
      <c r="L55" s="16"/>
      <c r="M55" s="16">
        <f>L58</f>
        <v>159.99999999999997</v>
      </c>
      <c r="N55" s="16">
        <f t="shared" ref="N55:Q55" si="7">M58</f>
        <v>198</v>
      </c>
      <c r="O55" s="16">
        <f t="shared" si="7"/>
        <v>238.57500000000007</v>
      </c>
      <c r="P55" s="16">
        <f t="shared" si="7"/>
        <v>277.96250000000003</v>
      </c>
      <c r="Q55" s="16">
        <f t="shared" si="7"/>
        <v>318.26249999999993</v>
      </c>
      <c r="T55" s="4" t="s">
        <v>91</v>
      </c>
      <c r="U55" s="16"/>
      <c r="V55" s="16">
        <f>U58</f>
        <v>443.71958726316802</v>
      </c>
      <c r="W55" s="16">
        <f t="shared" ref="W55:Z55" si="8">V58</f>
        <v>588.27398418333087</v>
      </c>
      <c r="X55" s="16">
        <f t="shared" si="8"/>
        <v>727.18767545780736</v>
      </c>
      <c r="Y55" s="16">
        <f t="shared" si="8"/>
        <v>859.55994638188793</v>
      </c>
      <c r="Z55" s="16">
        <f t="shared" si="8"/>
        <v>988.34933467827102</v>
      </c>
      <c r="AA55" s="30"/>
    </row>
    <row r="56" spans="2:33" s="1" customFormat="1" x14ac:dyDescent="0.25">
      <c r="B56" s="4" t="s">
        <v>88</v>
      </c>
      <c r="C56" s="59">
        <v>0</v>
      </c>
      <c r="D56" s="59">
        <f>D8</f>
        <v>100</v>
      </c>
      <c r="E56" s="59">
        <f t="shared" ref="E56:H56" si="9">E8</f>
        <v>110</v>
      </c>
      <c r="F56" s="59">
        <f t="shared" si="9"/>
        <v>125</v>
      </c>
      <c r="G56" s="59">
        <f t="shared" si="9"/>
        <v>120</v>
      </c>
      <c r="H56" s="59">
        <f t="shared" si="9"/>
        <v>120</v>
      </c>
      <c r="I56" s="2"/>
      <c r="K56" s="4" t="s">
        <v>88</v>
      </c>
      <c r="L56" s="59"/>
      <c r="M56" s="59">
        <f>SUM(M13:M54)-SUM(L13:L54)</f>
        <v>38.000000000000028</v>
      </c>
      <c r="N56" s="59">
        <f t="shared" ref="N56:Q56" si="10">SUM(N13:N54)-SUM(M13:M54)</f>
        <v>40.575000000000074</v>
      </c>
      <c r="O56" s="59">
        <f t="shared" si="10"/>
        <v>43.38749999999996</v>
      </c>
      <c r="P56" s="59">
        <f t="shared" si="10"/>
        <v>46.299999999999898</v>
      </c>
      <c r="Q56" s="59">
        <f t="shared" si="10"/>
        <v>49.150000000000091</v>
      </c>
      <c r="T56" s="4" t="s">
        <v>88</v>
      </c>
      <c r="U56" s="59"/>
      <c r="V56" s="59">
        <f>SUM(V13:V54)-SUM(U13:U54)</f>
        <v>144.55439692016284</v>
      </c>
      <c r="W56" s="59">
        <f t="shared" ref="W56:Z56" si="11">SUM(W13:W54)-SUM(V13:V54)</f>
        <v>138.91369127447649</v>
      </c>
      <c r="X56" s="59">
        <f t="shared" si="11"/>
        <v>136.37227092408057</v>
      </c>
      <c r="Y56" s="59">
        <f t="shared" si="11"/>
        <v>134.78938829638309</v>
      </c>
      <c r="Z56" s="59">
        <f t="shared" si="11"/>
        <v>133.0372383616924</v>
      </c>
    </row>
    <row r="57" spans="2:33" x14ac:dyDescent="0.25">
      <c r="B57" s="4" t="s">
        <v>89</v>
      </c>
      <c r="C57" s="60">
        <v>0</v>
      </c>
      <c r="D57" s="60">
        <f>-(D54-C54)</f>
        <v>0</v>
      </c>
      <c r="E57" s="60">
        <f t="shared" ref="E57:H57" si="12">-(E54-D54)</f>
        <v>0</v>
      </c>
      <c r="F57" s="60">
        <f t="shared" si="12"/>
        <v>-4</v>
      </c>
      <c r="G57" s="60">
        <f t="shared" si="12"/>
        <v>-6</v>
      </c>
      <c r="H57" s="60">
        <f t="shared" si="12"/>
        <v>-6</v>
      </c>
      <c r="I57" s="2"/>
      <c r="K57" s="4" t="s">
        <v>89</v>
      </c>
      <c r="L57" s="60"/>
      <c r="M57" s="60">
        <f>-(M54-L54)</f>
        <v>0</v>
      </c>
      <c r="N57" s="60">
        <f t="shared" ref="N57:Q57" si="13">-(N54-M54)</f>
        <v>0</v>
      </c>
      <c r="O57" s="60">
        <f t="shared" si="13"/>
        <v>-4</v>
      </c>
      <c r="P57" s="60">
        <f t="shared" si="13"/>
        <v>-6</v>
      </c>
      <c r="Q57" s="60">
        <f t="shared" si="13"/>
        <v>-6</v>
      </c>
      <c r="T57" s="4" t="s">
        <v>89</v>
      </c>
      <c r="U57" s="60"/>
      <c r="V57" s="60">
        <f>-(V54-U54)</f>
        <v>0</v>
      </c>
      <c r="W57" s="60">
        <f t="shared" ref="W57:Z57" si="14">-(W54-V54)</f>
        <v>0</v>
      </c>
      <c r="X57" s="60">
        <f t="shared" si="14"/>
        <v>-4</v>
      </c>
      <c r="Y57" s="60">
        <f t="shared" si="14"/>
        <v>-6</v>
      </c>
      <c r="Z57" s="60">
        <f t="shared" si="14"/>
        <v>-6</v>
      </c>
    </row>
    <row r="58" spans="2:33" x14ac:dyDescent="0.25">
      <c r="B58" s="57" t="s">
        <v>90</v>
      </c>
      <c r="C58" s="58">
        <f>SUM(C13:C54)</f>
        <v>1470</v>
      </c>
      <c r="D58" s="58">
        <f>SUM(D55:D57)</f>
        <v>1570</v>
      </c>
      <c r="E58" s="58">
        <f t="shared" ref="E58:H58" si="15">SUM(E55:E57)</f>
        <v>1680</v>
      </c>
      <c r="F58" s="58">
        <f t="shared" si="15"/>
        <v>1801</v>
      </c>
      <c r="G58" s="58">
        <f t="shared" si="15"/>
        <v>1915</v>
      </c>
      <c r="H58" s="58">
        <f t="shared" si="15"/>
        <v>2029</v>
      </c>
      <c r="K58" s="57" t="s">
        <v>90</v>
      </c>
      <c r="L58" s="58">
        <f>SUM(L13:L54)</f>
        <v>159.99999999999997</v>
      </c>
      <c r="M58" s="58">
        <f>SUM(M55:M57)</f>
        <v>198</v>
      </c>
      <c r="N58" s="58">
        <f t="shared" ref="N58:Q58" si="16">SUM(N55:N57)</f>
        <v>238.57500000000007</v>
      </c>
      <c r="O58" s="58">
        <f t="shared" si="16"/>
        <v>277.96250000000003</v>
      </c>
      <c r="P58" s="58">
        <f t="shared" si="16"/>
        <v>318.26249999999993</v>
      </c>
      <c r="Q58" s="58">
        <f t="shared" si="16"/>
        <v>361.41250000000002</v>
      </c>
      <c r="T58" s="57" t="s">
        <v>90</v>
      </c>
      <c r="U58" s="58">
        <f>SUM(U13:U54)</f>
        <v>443.71958726316802</v>
      </c>
      <c r="V58" s="58">
        <f>SUM(V55:V57)</f>
        <v>588.27398418333087</v>
      </c>
      <c r="W58" s="58">
        <f t="shared" ref="W58" si="17">SUM(W55:W57)</f>
        <v>727.18767545780736</v>
      </c>
      <c r="X58" s="58">
        <f t="shared" ref="X58" si="18">SUM(X55:X57)</f>
        <v>859.55994638188793</v>
      </c>
      <c r="Y58" s="58">
        <f t="shared" ref="Y58" si="19">SUM(Y55:Y57)</f>
        <v>988.34933467827102</v>
      </c>
      <c r="Z58" s="58">
        <f t="shared" ref="Z58" si="20">SUM(Z55:Z57)</f>
        <v>1115.3865730399634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011A50-B13E-4819-82FC-B32164C59A61}">
  <ds:schemaRefs>
    <ds:schemaRef ds:uri="http://www.w3.org/2001/XMLSchema"/>
    <ds:schemaRef ds:uri="http://www.boozallen.com/argo/gui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Financial Forecast</vt:lpstr>
      <vt:lpstr>Rate Base &amp; Revenue Req</vt:lpstr>
      <vt:lpstr>Assumptions</vt:lpstr>
      <vt:lpstr>Plant in Service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dcterms:created xsi:type="dcterms:W3CDTF">2018-01-04T13:09:01Z</dcterms:created>
  <dcterms:modified xsi:type="dcterms:W3CDTF">2018-02-05T13:00:05Z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{C20D0B74-FA5E-431A-A1F6-8814105FB682}</vt:lpwstr>
  </property>
</Properties>
</file>