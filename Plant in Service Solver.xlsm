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0220278\Desktop\Rate Base Model\"/>
    </mc:Choice>
  </mc:AlternateContent>
  <bookViews>
    <workbookView xWindow="0" yWindow="0" windowWidth="18870" windowHeight="7035"/>
  </bookViews>
  <sheets>
    <sheet name="Plant in Service" sheetId="2" r:id="rId1"/>
  </sheets>
  <functionGroups builtInGroupCount="18"/>
  <definedNames>
    <definedName name="solver_adj" localSheetId="0" hidden="1">'Plant in Service'!$B$14:$B$54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'Plant in Service'!$B$14:$B$54</definedName>
    <definedName name="solver_lhs2" localSheetId="0" hidden="1">'Plant in Service'!$K$3</definedName>
    <definedName name="solver_lhs3" localSheetId="0" hidden="1">'Plant in Service'!$K$5</definedName>
    <definedName name="solver_lhs4" localSheetId="0" hidden="1">'Plant in Service'!$K$6</definedName>
    <definedName name="solver_lhs5" localSheetId="0" hidden="1">'Plant in Service'!$K$6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'Plant in Service'!$D$3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2</definedName>
    <definedName name="solver_rel3" localSheetId="0" hidden="1">1</definedName>
    <definedName name="solver_rel4" localSheetId="0" hidden="1">1</definedName>
    <definedName name="solver_rel5" localSheetId="0" hidden="1">2</definedName>
    <definedName name="solver_rhs1" localSheetId="0" hidden="1">'Plant in Service'!$J$4</definedName>
    <definedName name="solver_rhs2" localSheetId="0" hidden="1">1</definedName>
    <definedName name="solver_rhs3" localSheetId="0" hidden="1">'Plant in Service'!$J$5</definedName>
    <definedName name="solver_rhs4" localSheetId="0" hidden="1">'Plant in Service'!$J$6</definedName>
    <definedName name="solver_rhs5" localSheetId="0" hidden="1">'Plant in Service'!$J$6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1600</definedName>
    <definedName name="solver_ver" localSheetId="0" hidden="1">3</definedName>
  </definedName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2" l="1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14" i="2"/>
  <c r="K55" i="2"/>
  <c r="K40" i="2"/>
  <c r="K18" i="2"/>
  <c r="K34" i="2"/>
  <c r="K43" i="2"/>
  <c r="K28" i="2"/>
  <c r="K19" i="2"/>
  <c r="K45" i="2"/>
  <c r="K17" i="2"/>
  <c r="K33" i="2"/>
  <c r="K52" i="2"/>
  <c r="K21" i="2"/>
  <c r="K44" i="2"/>
  <c r="K51" i="2"/>
  <c r="K31" i="2"/>
  <c r="K16" i="2"/>
  <c r="K37" i="2"/>
  <c r="K47" i="2"/>
  <c r="K20" i="2"/>
  <c r="K26" i="2"/>
  <c r="K23" i="2"/>
  <c r="K42" i="2"/>
  <c r="K53" i="2"/>
  <c r="K54" i="2"/>
  <c r="K14" i="2"/>
  <c r="K49" i="2"/>
  <c r="K25" i="2"/>
  <c r="K36" i="2"/>
  <c r="K32" i="2"/>
  <c r="K41" i="2"/>
  <c r="K22" i="2"/>
  <c r="K39" i="2"/>
  <c r="K24" i="2"/>
  <c r="K38" i="2"/>
  <c r="K35" i="2"/>
  <c r="K27" i="2"/>
  <c r="K50" i="2"/>
  <c r="K46" i="2"/>
  <c r="K30" i="2"/>
  <c r="K29" i="2"/>
  <c r="K48" i="2"/>
  <c r="K15" i="2"/>
  <c r="K4" i="2" l="1"/>
  <c r="E17" i="2"/>
  <c r="E21" i="2"/>
  <c r="E25" i="2"/>
  <c r="E29" i="2"/>
  <c r="E33" i="2"/>
  <c r="E37" i="2"/>
  <c r="E41" i="2"/>
  <c r="E45" i="2"/>
  <c r="E49" i="2"/>
  <c r="E53" i="2"/>
  <c r="E15" i="2"/>
  <c r="E16" i="2"/>
  <c r="E18" i="2"/>
  <c r="E19" i="2"/>
  <c r="E20" i="2"/>
  <c r="E22" i="2"/>
  <c r="E23" i="2"/>
  <c r="E24" i="2"/>
  <c r="E26" i="2"/>
  <c r="E27" i="2"/>
  <c r="E28" i="2"/>
  <c r="E30" i="2"/>
  <c r="E31" i="2"/>
  <c r="E32" i="2"/>
  <c r="E34" i="2"/>
  <c r="E35" i="2"/>
  <c r="E36" i="2"/>
  <c r="E38" i="2"/>
  <c r="E39" i="2"/>
  <c r="E40" i="2"/>
  <c r="E42" i="2"/>
  <c r="E43" i="2"/>
  <c r="E44" i="2"/>
  <c r="E46" i="2"/>
  <c r="E47" i="2"/>
  <c r="E48" i="2"/>
  <c r="E50" i="2"/>
  <c r="E51" i="2"/>
  <c r="E52" i="2"/>
  <c r="E54" i="2"/>
  <c r="E14" i="2"/>
  <c r="K3" i="2" l="1"/>
  <c r="K5" i="2"/>
  <c r="F15" i="2" l="1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14" i="2"/>
  <c r="G14" i="2" l="1"/>
  <c r="G46" i="2"/>
  <c r="G30" i="2"/>
  <c r="G18" i="2"/>
  <c r="G53" i="2"/>
  <c r="G45" i="2"/>
  <c r="G41" i="2"/>
  <c r="G37" i="2"/>
  <c r="G33" i="2"/>
  <c r="G29" i="2"/>
  <c r="G25" i="2"/>
  <c r="G21" i="2"/>
  <c r="G17" i="2"/>
  <c r="G54" i="2"/>
  <c r="G42" i="2"/>
  <c r="G34" i="2"/>
  <c r="G26" i="2"/>
  <c r="G52" i="2"/>
  <c r="G48" i="2"/>
  <c r="G44" i="2"/>
  <c r="G40" i="2"/>
  <c r="G36" i="2"/>
  <c r="G28" i="2"/>
  <c r="G24" i="2"/>
  <c r="G20" i="2"/>
  <c r="G16" i="2"/>
  <c r="G50" i="2"/>
  <c r="G38" i="2"/>
  <c r="G22" i="2"/>
  <c r="G51" i="2"/>
  <c r="G47" i="2"/>
  <c r="G43" i="2"/>
  <c r="G39" i="2"/>
  <c r="G35" i="2"/>
  <c r="G31" i="2"/>
  <c r="G27" i="2"/>
  <c r="G23" i="2"/>
  <c r="G15" i="2"/>
  <c r="G55" i="2"/>
  <c r="G49" i="2" l="1"/>
  <c r="G32" i="2"/>
  <c r="G19" i="2"/>
  <c r="F56" i="2" l="1"/>
  <c r="E56" i="2"/>
  <c r="D3" i="2" l="1"/>
  <c r="G56" i="2" l="1"/>
  <c r="O14" i="2" l="1"/>
  <c r="K6" i="2" s="1"/>
</calcChain>
</file>

<file path=xl/sharedStrings.xml><?xml version="1.0" encoding="utf-8"?>
<sst xmlns="http://schemas.openxmlformats.org/spreadsheetml/2006/main" count="28" uniqueCount="21">
  <si>
    <t>Useful life (book)</t>
  </si>
  <si>
    <t>Useful life (tax)</t>
  </si>
  <si>
    <t>Tax rate</t>
  </si>
  <si>
    <t>Total</t>
  </si>
  <si>
    <t>ADIT</t>
  </si>
  <si>
    <t>Book</t>
  </si>
  <si>
    <t>Tax</t>
  </si>
  <si>
    <t>First Year Fraction</t>
  </si>
  <si>
    <t>Gross Plant</t>
  </si>
  <si>
    <t>Net Plant</t>
  </si>
  <si>
    <t>Max annual coefficient</t>
  </si>
  <si>
    <t>Sum of coefficients</t>
  </si>
  <si>
    <t>Min annual coefficient</t>
  </si>
  <si>
    <t>Value</t>
  </si>
  <si>
    <t>Constraint</t>
  </si>
  <si>
    <t>ADIT Tolerance</t>
  </si>
  <si>
    <t>Plant</t>
  </si>
  <si>
    <t>Deprec</t>
  </si>
  <si>
    <t>Factor</t>
  </si>
  <si>
    <t>Bonus</t>
  </si>
  <si>
    <t>Coefficient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</si>
</sst>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00_);\(#,##0.000\)"/>
    <numFmt numFmtId="165" formatCode="#,##0.0_);\(#,##0.0\)"/>
    <numFmt numFmtId="166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rgb="FF002060"/>
      </left>
      <right style="dotted">
        <color rgb="FF002060"/>
      </right>
      <top style="dotted">
        <color rgb="FF002060"/>
      </top>
      <bottom style="dotted">
        <color rgb="FF002060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37" fontId="0" fillId="0" borderId="0" xfId="0" applyNumberFormat="1"/>
    <xf numFmtId="37" fontId="1" fillId="0" borderId="1" xfId="0" applyNumberFormat="1" applyFont="1" applyBorder="1"/>
    <xf numFmtId="37" fontId="1" fillId="0" borderId="0" xfId="0" applyNumberFormat="1" applyFont="1" applyAlignment="1">
      <alignment horizontal="right"/>
    </xf>
    <xf numFmtId="37" fontId="0" fillId="0" borderId="3" xfId="0" applyNumberFormat="1" applyFont="1" applyBorder="1"/>
    <xf numFmtId="9" fontId="3" fillId="2" borderId="2" xfId="1" applyFont="1" applyFill="1" applyBorder="1"/>
    <xf numFmtId="37" fontId="3" fillId="2" borderId="2" xfId="0" applyNumberFormat="1" applyFont="1" applyFill="1" applyBorder="1"/>
    <xf numFmtId="164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165" fontId="3" fillId="2" borderId="2" xfId="0" applyNumberFormat="1" applyFont="1" applyFill="1" applyBorder="1"/>
    <xf numFmtId="39" fontId="3" fillId="2" borderId="2" xfId="0" applyNumberFormat="1" applyFont="1" applyFill="1" applyBorder="1"/>
    <xf numFmtId="0" fontId="1" fillId="0" borderId="0" xfId="0" applyFont="1" applyAlignment="1">
      <alignment horizontal="right" wrapText="1"/>
    </xf>
    <xf numFmtId="0" fontId="1" fillId="0" borderId="0" xfId="0" applyFont="1" applyBorder="1" applyAlignment="1">
      <alignment horizontal="right"/>
    </xf>
    <xf numFmtId="37" fontId="0" fillId="0" borderId="0" xfId="0" applyNumberFormat="1" applyFont="1" applyBorder="1" applyAlignment="1">
      <alignment horizontal="right"/>
    </xf>
    <xf numFmtId="0" fontId="1" fillId="0" borderId="0" xfId="0" applyFont="1" applyBorder="1" applyAlignment="1">
      <alignment horizontal="right" wrapText="1"/>
    </xf>
    <xf numFmtId="37" fontId="4" fillId="0" borderId="0" xfId="0" applyNumberFormat="1" applyFont="1" applyFill="1" applyBorder="1"/>
    <xf numFmtId="164" fontId="3" fillId="2" borderId="2" xfId="0" applyNumberFormat="1" applyFont="1" applyFill="1" applyBorder="1"/>
    <xf numFmtId="166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56"/>
  <sheetViews>
    <sheetView showGridLines="0" tabSelected="1" workbookViewId="0">
      <selection activeCell="D8" sqref="D8"/>
    </sheetView>
  </sheetViews>
  <sheetFormatPr defaultRowHeight="15" x14ac:dyDescent="0.25"/>
  <cols>
    <col min="2" max="2" width="12.7109375" bestFit="1" customWidth="1"/>
  </cols>
  <sheetData>
    <row r="2" spans="2:22" x14ac:dyDescent="0.25">
      <c r="B2" t="s">
        <v>8</v>
      </c>
      <c r="D2" s="7">
        <v>2000</v>
      </c>
      <c r="J2" s="11" t="s">
        <v>14</v>
      </c>
      <c r="K2" s="11" t="s">
        <v>13</v>
      </c>
    </row>
    <row r="3" spans="2:22" x14ac:dyDescent="0.25">
      <c r="B3" t="s">
        <v>9</v>
      </c>
      <c r="D3" s="2">
        <f>E56-F56</f>
        <v>1600.0000000207019</v>
      </c>
      <c r="G3" t="s">
        <v>11</v>
      </c>
      <c r="J3" s="2">
        <v>1</v>
      </c>
      <c r="K3">
        <f>SUM(B14:B54)</f>
        <v>1.0000000001157325</v>
      </c>
    </row>
    <row r="4" spans="2:22" x14ac:dyDescent="0.25">
      <c r="B4" t="s">
        <v>4</v>
      </c>
      <c r="D4" s="7">
        <v>230</v>
      </c>
      <c r="G4" t="s">
        <v>12</v>
      </c>
      <c r="J4" s="19">
        <v>2E-3</v>
      </c>
      <c r="K4" s="20">
        <f>MIN(B14:B54)</f>
        <v>1.9999999999999996E-3</v>
      </c>
    </row>
    <row r="5" spans="2:22" x14ac:dyDescent="0.25">
      <c r="B5" t="s">
        <v>0</v>
      </c>
      <c r="D5" s="7">
        <v>40</v>
      </c>
      <c r="G5" t="s">
        <v>10</v>
      </c>
      <c r="J5" s="19">
        <v>0.4</v>
      </c>
      <c r="K5" s="20">
        <f>MAX(B14:B54)</f>
        <v>0.4</v>
      </c>
    </row>
    <row r="6" spans="2:22" x14ac:dyDescent="0.25">
      <c r="B6" t="s">
        <v>1</v>
      </c>
      <c r="D6" s="7">
        <v>15</v>
      </c>
      <c r="G6" t="s">
        <v>15</v>
      </c>
      <c r="J6" s="19">
        <v>0.5</v>
      </c>
      <c r="K6" s="20">
        <f>ABS(D4-O14)</f>
        <v>9.8081180124296452E-2</v>
      </c>
    </row>
    <row r="7" spans="2:22" x14ac:dyDescent="0.25">
      <c r="B7" t="s">
        <v>7</v>
      </c>
      <c r="D7" s="12">
        <v>0.5</v>
      </c>
    </row>
    <row r="8" spans="2:22" x14ac:dyDescent="0.25">
      <c r="B8" t="s">
        <v>2</v>
      </c>
      <c r="D8" s="6">
        <v>0.35</v>
      </c>
    </row>
    <row r="11" spans="2:22" x14ac:dyDescent="0.25">
      <c r="T11" s="10"/>
      <c r="V11" s="10"/>
    </row>
    <row r="12" spans="2:22" ht="15" customHeight="1" x14ac:dyDescent="0.25">
      <c r="D12" s="1"/>
      <c r="E12" s="14" t="s">
        <v>8</v>
      </c>
      <c r="F12" s="15" t="s">
        <v>5</v>
      </c>
      <c r="G12" s="15" t="s">
        <v>6</v>
      </c>
      <c r="H12" s="1"/>
      <c r="I12" s="10" t="s">
        <v>5</v>
      </c>
      <c r="J12" s="1"/>
      <c r="K12" s="10" t="s">
        <v>6</v>
      </c>
      <c r="L12" s="1"/>
      <c r="M12" s="10" t="s">
        <v>19</v>
      </c>
      <c r="N12" s="10"/>
      <c r="P12" s="10"/>
      <c r="S12" s="1"/>
    </row>
    <row r="13" spans="2:22" x14ac:dyDescent="0.25">
      <c r="B13" s="10" t="s">
        <v>20</v>
      </c>
      <c r="D13" s="1"/>
      <c r="E13" s="17" t="s">
        <v>16</v>
      </c>
      <c r="F13" s="15" t="s">
        <v>17</v>
      </c>
      <c r="G13" s="15" t="s">
        <v>17</v>
      </c>
      <c r="I13" s="10" t="s">
        <v>18</v>
      </c>
      <c r="K13" s="10" t="s">
        <v>18</v>
      </c>
      <c r="M13" s="10" t="s">
        <v>17</v>
      </c>
      <c r="O13" s="15" t="s">
        <v>4</v>
      </c>
    </row>
    <row r="14" spans="2:22" x14ac:dyDescent="0.25">
      <c r="B14" s="13">
        <v>7.3616925623207607E-3</v>
      </c>
      <c r="D14" s="5">
        <v>1</v>
      </c>
      <c r="E14" s="18">
        <f t="shared" ref="E14:E54" si="0">B14*$D$2</f>
        <v>14.723385124641521</v>
      </c>
      <c r="F14" s="2">
        <f t="shared" ref="F14:F55" si="1">E14*$I14</f>
        <v>0.18404231405801902</v>
      </c>
      <c r="G14" s="2">
        <f t="shared" ref="G14:G55" si="2">$K14*E14</f>
        <v>7.8524720664754772</v>
      </c>
      <c r="I14" s="8">
        <f t="shared" ref="I14:I55" si="3">MIN(1,($D14-(1-$D$7))/$D$5)</f>
        <v>1.2500000000000001E-2</v>
      </c>
      <c r="K14" s="9">
        <f>IFERROR(macrs($D$6,$D$7,$M14,$D14,TRUE),1)</f>
        <v>0.53333333333333333</v>
      </c>
      <c r="M14" s="6">
        <v>0.5</v>
      </c>
      <c r="O14" s="16">
        <f>(G56-F56)*$D$8</f>
        <v>230.0980811801243</v>
      </c>
    </row>
    <row r="15" spans="2:22" x14ac:dyDescent="0.25">
      <c r="B15" s="13">
        <v>6.2471906829473711E-3</v>
      </c>
      <c r="D15" s="5">
        <v>2</v>
      </c>
      <c r="E15" s="18">
        <f t="shared" si="0"/>
        <v>12.494381365894743</v>
      </c>
      <c r="F15" s="2">
        <f t="shared" si="1"/>
        <v>0.46853930122105281</v>
      </c>
      <c r="G15" s="2">
        <f t="shared" si="2"/>
        <v>7.4410982356884237</v>
      </c>
      <c r="I15" s="8">
        <f t="shared" si="3"/>
        <v>3.7499999999999999E-2</v>
      </c>
      <c r="K15" s="9">
        <f>IFERROR(macrs($D$6,$D$7,$M15,$D15,TRUE),1)</f>
        <v>0.5955555555555555</v>
      </c>
      <c r="M15" s="6">
        <v>0.5</v>
      </c>
    </row>
    <row r="16" spans="2:22" x14ac:dyDescent="0.25">
      <c r="B16" s="13">
        <v>5.3233531429147897E-3</v>
      </c>
      <c r="D16" s="5">
        <v>3</v>
      </c>
      <c r="E16" s="18">
        <f t="shared" si="0"/>
        <v>10.646706285829579</v>
      </c>
      <c r="F16" s="2">
        <f t="shared" si="1"/>
        <v>0.66541914286434867</v>
      </c>
      <c r="G16" s="2">
        <f t="shared" si="2"/>
        <v>6.9148385714187954</v>
      </c>
      <c r="I16" s="8">
        <f t="shared" si="3"/>
        <v>6.25E-2</v>
      </c>
      <c r="K16" s="9">
        <f>IFERROR(macrs($D$6,$D$7,$M16,$D16,TRUE),1)</f>
        <v>0.64948148148148144</v>
      </c>
      <c r="M16" s="6">
        <v>0.5</v>
      </c>
    </row>
    <row r="17" spans="2:13" x14ac:dyDescent="0.25">
      <c r="B17" s="13">
        <v>0.4</v>
      </c>
      <c r="D17" s="5">
        <v>4</v>
      </c>
      <c r="E17" s="18">
        <f t="shared" si="0"/>
        <v>800</v>
      </c>
      <c r="F17" s="2">
        <f t="shared" si="1"/>
        <v>70</v>
      </c>
      <c r="G17" s="2">
        <f t="shared" si="2"/>
        <v>313.94765432098768</v>
      </c>
      <c r="I17" s="8">
        <f t="shared" si="3"/>
        <v>8.7499999999999994E-2</v>
      </c>
      <c r="K17" s="9">
        <f>IFERROR(macrs($D$6,$D$7,$M17,$D17,TRUE),1)</f>
        <v>0.3924345679012346</v>
      </c>
      <c r="M17" s="6">
        <v>0</v>
      </c>
    </row>
    <row r="18" spans="2:13" x14ac:dyDescent="0.25">
      <c r="B18" s="13">
        <v>0.39124632639038281</v>
      </c>
      <c r="D18" s="5">
        <v>5</v>
      </c>
      <c r="E18" s="18">
        <f t="shared" si="0"/>
        <v>782.49265278076564</v>
      </c>
      <c r="F18" s="2">
        <f t="shared" si="1"/>
        <v>88.030423437836134</v>
      </c>
      <c r="G18" s="2">
        <f t="shared" si="2"/>
        <v>370.46589764002459</v>
      </c>
      <c r="I18" s="8">
        <f t="shared" si="3"/>
        <v>0.1125</v>
      </c>
      <c r="K18" s="9">
        <f>IFERROR(macrs($D$6,$D$7,$M18,$D18,TRUE),1)</f>
        <v>0.47344329218107001</v>
      </c>
      <c r="M18" s="6">
        <v>0</v>
      </c>
    </row>
    <row r="19" spans="2:13" x14ac:dyDescent="0.25">
      <c r="B19" s="13">
        <v>8.7019802256017888E-3</v>
      </c>
      <c r="D19" s="5">
        <v>6</v>
      </c>
      <c r="E19" s="18">
        <f t="shared" si="0"/>
        <v>17.403960451203577</v>
      </c>
      <c r="F19" s="2">
        <f t="shared" si="1"/>
        <v>2.3930445620404921</v>
      </c>
      <c r="G19" s="2">
        <f t="shared" si="2"/>
        <v>9.4616779487665106</v>
      </c>
      <c r="I19" s="8">
        <f t="shared" si="3"/>
        <v>0.13750000000000001</v>
      </c>
      <c r="K19" s="9">
        <f>IFERROR(macrs($D$6,$D$7,$M19,$D19,TRUE),1)</f>
        <v>0.54365085322359397</v>
      </c>
      <c r="M19" s="6">
        <v>0</v>
      </c>
    </row>
    <row r="20" spans="2:13" x14ac:dyDescent="0.25">
      <c r="B20" s="13">
        <v>7.6190951082376872E-3</v>
      </c>
      <c r="D20" s="5">
        <v>7</v>
      </c>
      <c r="E20" s="18">
        <f t="shared" si="0"/>
        <v>15.238190216475374</v>
      </c>
      <c r="F20" s="2">
        <f t="shared" si="1"/>
        <v>2.4762059101772484</v>
      </c>
      <c r="G20" s="2">
        <f t="shared" si="2"/>
        <v>9.2114464599309418</v>
      </c>
      <c r="I20" s="8">
        <f t="shared" si="3"/>
        <v>0.16250000000000001</v>
      </c>
      <c r="K20" s="9">
        <f>IFERROR(macrs($D$6,$D$7,$M20,$D20,TRUE),1)</f>
        <v>0.60449740612711478</v>
      </c>
      <c r="M20" s="6">
        <v>0</v>
      </c>
    </row>
    <row r="21" spans="2:13" x14ac:dyDescent="0.25">
      <c r="B21" s="13">
        <v>6.7226574388681674E-3</v>
      </c>
      <c r="D21" s="5">
        <v>8</v>
      </c>
      <c r="E21" s="18">
        <f t="shared" si="0"/>
        <v>13.445314877736335</v>
      </c>
      <c r="F21" s="2">
        <f t="shared" si="1"/>
        <v>2.5209965395755627</v>
      </c>
      <c r="G21" s="2">
        <f t="shared" si="2"/>
        <v>8.8366788894315746</v>
      </c>
      <c r="I21" s="8">
        <f t="shared" si="3"/>
        <v>0.1875</v>
      </c>
      <c r="K21" s="9">
        <f>IFERROR(macrs($D$6,$D$7,$M21,$D21,TRUE),1)</f>
        <v>0.65723108531016616</v>
      </c>
      <c r="M21" s="6">
        <v>0</v>
      </c>
    </row>
    <row r="22" spans="2:13" x14ac:dyDescent="0.25">
      <c r="B22" s="13">
        <v>5.9529776842340764E-3</v>
      </c>
      <c r="D22" s="5">
        <v>9</v>
      </c>
      <c r="E22" s="18">
        <f t="shared" si="0"/>
        <v>11.905955368468152</v>
      </c>
      <c r="F22" s="2">
        <f t="shared" si="1"/>
        <v>2.5300155157994824</v>
      </c>
      <c r="G22" s="2">
        <f t="shared" si="2"/>
        <v>8.3871413552067882</v>
      </c>
      <c r="I22" s="8">
        <f t="shared" si="3"/>
        <v>0.21249999999999999</v>
      </c>
      <c r="K22" s="9">
        <f>IFERROR(macrs($D$6,$D$7,$M22,$D22,TRUE),1)</f>
        <v>0.70444925212968412</v>
      </c>
      <c r="M22" s="6">
        <v>0</v>
      </c>
    </row>
    <row r="23" spans="2:13" x14ac:dyDescent="0.25">
      <c r="B23" s="13">
        <v>5.2234890032684615E-3</v>
      </c>
      <c r="D23" s="5">
        <v>10</v>
      </c>
      <c r="E23" s="18">
        <f t="shared" si="0"/>
        <v>10.446978006536924</v>
      </c>
      <c r="F23" s="2">
        <f t="shared" si="1"/>
        <v>2.4811572765525192</v>
      </c>
      <c r="G23" s="2">
        <f t="shared" si="2"/>
        <v>7.8343830995381527</v>
      </c>
      <c r="I23" s="8">
        <f t="shared" si="3"/>
        <v>0.23749999999999999</v>
      </c>
      <c r="K23" s="9">
        <f>IFERROR(macrs($D$6,$D$7,$M23,$D23,TRUE),1)</f>
        <v>0.74991859795588656</v>
      </c>
      <c r="M23" s="6">
        <v>0</v>
      </c>
    </row>
    <row r="24" spans="2:13" x14ac:dyDescent="0.25">
      <c r="B24" s="13">
        <v>4.4939988374758221E-3</v>
      </c>
      <c r="D24" s="5">
        <v>11</v>
      </c>
      <c r="E24" s="18">
        <f t="shared" si="0"/>
        <v>8.9879976749516448</v>
      </c>
      <c r="F24" s="2">
        <f t="shared" si="1"/>
        <v>2.359349389674807</v>
      </c>
      <c r="G24" s="2">
        <f t="shared" si="2"/>
        <v>7.1489449893979851</v>
      </c>
      <c r="I24" s="8">
        <f t="shared" si="3"/>
        <v>0.26250000000000001</v>
      </c>
      <c r="K24" s="9">
        <f>IFERROR(macrs($D$6,$D$7,$M24,$D24,TRUE),1)</f>
        <v>0.79538794378208899</v>
      </c>
      <c r="M24" s="6">
        <v>0</v>
      </c>
    </row>
    <row r="25" spans="2:13" x14ac:dyDescent="0.25">
      <c r="B25" s="13">
        <v>3.7645094108449801E-3</v>
      </c>
      <c r="D25" s="5">
        <v>12</v>
      </c>
      <c r="E25" s="18">
        <f t="shared" si="0"/>
        <v>7.5290188216899603</v>
      </c>
      <c r="F25" s="2">
        <f t="shared" si="1"/>
        <v>2.1645929112358635</v>
      </c>
      <c r="G25" s="2">
        <f t="shared" si="2"/>
        <v>6.3308303598160318</v>
      </c>
      <c r="I25" s="8">
        <f t="shared" si="3"/>
        <v>0.28749999999999998</v>
      </c>
      <c r="K25" s="9">
        <f>IFERROR(macrs($D$6,$D$7,$M25,$D25,TRUE),1)</f>
        <v>0.84085728960829142</v>
      </c>
      <c r="M25" s="6">
        <v>0</v>
      </c>
    </row>
    <row r="26" spans="2:13" x14ac:dyDescent="0.25">
      <c r="B26" s="13">
        <v>3.0350214660605141E-3</v>
      </c>
      <c r="D26" s="5">
        <v>13</v>
      </c>
      <c r="E26" s="18">
        <f t="shared" si="0"/>
        <v>6.0700429321210283</v>
      </c>
      <c r="F26" s="2">
        <f t="shared" si="1"/>
        <v>1.8968884162878212</v>
      </c>
      <c r="G26" s="2">
        <f t="shared" si="2"/>
        <v>5.3800407289697612</v>
      </c>
      <c r="I26" s="8">
        <f t="shared" si="3"/>
        <v>0.3125</v>
      </c>
      <c r="K26" s="9">
        <f>IFERROR(macrs($D$6,$D$7,$M26,$D26,TRUE),1)</f>
        <v>0.88632663543449386</v>
      </c>
      <c r="M26" s="6">
        <v>0</v>
      </c>
    </row>
    <row r="27" spans="2:13" x14ac:dyDescent="0.25">
      <c r="B27" s="13">
        <v>2.3055313171530759E-3</v>
      </c>
      <c r="D27" s="5">
        <v>14</v>
      </c>
      <c r="E27" s="18">
        <f t="shared" si="0"/>
        <v>4.611062634306152</v>
      </c>
      <c r="F27" s="2">
        <f t="shared" si="1"/>
        <v>1.5562336390783265</v>
      </c>
      <c r="G27" s="2">
        <f t="shared" si="2"/>
        <v>4.2965696319878317</v>
      </c>
      <c r="I27" s="8">
        <f t="shared" si="3"/>
        <v>0.33750000000000002</v>
      </c>
      <c r="K27" s="9">
        <f>IFERROR(macrs($D$6,$D$7,$M27,$D27,TRUE),1)</f>
        <v>0.93179598126069629</v>
      </c>
      <c r="M27" s="6">
        <v>0</v>
      </c>
    </row>
    <row r="28" spans="2:13" x14ac:dyDescent="0.25">
      <c r="B28" s="13">
        <v>2E-3</v>
      </c>
      <c r="D28" s="5">
        <v>15</v>
      </c>
      <c r="E28" s="18">
        <f t="shared" si="0"/>
        <v>4</v>
      </c>
      <c r="F28" s="2">
        <f t="shared" si="1"/>
        <v>1.45</v>
      </c>
      <c r="G28" s="2">
        <f t="shared" si="2"/>
        <v>3.9090613083475949</v>
      </c>
      <c r="I28" s="8">
        <f t="shared" si="3"/>
        <v>0.36249999999999999</v>
      </c>
      <c r="K28" s="9">
        <f>IFERROR(macrs($D$6,$D$7,$M28,$D28,TRUE),1)</f>
        <v>0.97726532708689873</v>
      </c>
      <c r="M28" s="6">
        <v>0</v>
      </c>
    </row>
    <row r="29" spans="2:13" x14ac:dyDescent="0.25">
      <c r="B29" s="13">
        <v>1.9999999999999996E-3</v>
      </c>
      <c r="D29" s="5">
        <v>16</v>
      </c>
      <c r="E29" s="18">
        <f t="shared" si="0"/>
        <v>3.9999999999999991</v>
      </c>
      <c r="F29" s="2">
        <f t="shared" si="1"/>
        <v>1.5499999999999996</v>
      </c>
      <c r="G29" s="2">
        <f t="shared" si="2"/>
        <v>3.9999999999999991</v>
      </c>
      <c r="I29" s="8">
        <f t="shared" si="3"/>
        <v>0.38750000000000001</v>
      </c>
      <c r="K29" s="9">
        <f>IFERROR(macrs($D$6,$D$7,$M29,$D29,TRUE),1)</f>
        <v>1</v>
      </c>
      <c r="M29" s="6">
        <v>0</v>
      </c>
    </row>
    <row r="30" spans="2:13" x14ac:dyDescent="0.25">
      <c r="B30" s="13">
        <v>2E-3</v>
      </c>
      <c r="D30" s="5">
        <v>17</v>
      </c>
      <c r="E30" s="18">
        <f t="shared" si="0"/>
        <v>4</v>
      </c>
      <c r="F30" s="2">
        <f t="shared" si="1"/>
        <v>1.65</v>
      </c>
      <c r="G30" s="2">
        <f t="shared" si="2"/>
        <v>4</v>
      </c>
      <c r="I30" s="8">
        <f t="shared" si="3"/>
        <v>0.41249999999999998</v>
      </c>
      <c r="K30" s="9">
        <f>IFERROR(macrs($D$6,$D$7,$M30,$D30,TRUE),1)</f>
        <v>1</v>
      </c>
      <c r="M30" s="6">
        <v>0</v>
      </c>
    </row>
    <row r="31" spans="2:13" x14ac:dyDescent="0.25">
      <c r="B31" s="13">
        <v>2E-3</v>
      </c>
      <c r="D31" s="5">
        <v>18</v>
      </c>
      <c r="E31" s="18">
        <f t="shared" si="0"/>
        <v>4</v>
      </c>
      <c r="F31" s="2">
        <f t="shared" si="1"/>
        <v>1.75</v>
      </c>
      <c r="G31" s="2">
        <f t="shared" si="2"/>
        <v>4</v>
      </c>
      <c r="I31" s="8">
        <f t="shared" si="3"/>
        <v>0.4375</v>
      </c>
      <c r="K31" s="9">
        <f>IFERROR(macrs($D$6,$D$7,$M31,$D31,TRUE),1)</f>
        <v>1</v>
      </c>
      <c r="M31" s="6">
        <v>0</v>
      </c>
    </row>
    <row r="32" spans="2:13" x14ac:dyDescent="0.25">
      <c r="B32" s="13">
        <v>2.3154814293965586E-3</v>
      </c>
      <c r="D32" s="5">
        <v>19</v>
      </c>
      <c r="E32" s="18">
        <f t="shared" si="0"/>
        <v>4.6309628587931169</v>
      </c>
      <c r="F32" s="2">
        <f t="shared" si="1"/>
        <v>2.1418203221918168</v>
      </c>
      <c r="G32" s="2">
        <f t="shared" si="2"/>
        <v>4.6309628587931169</v>
      </c>
      <c r="I32" s="8">
        <f t="shared" si="3"/>
        <v>0.46250000000000002</v>
      </c>
      <c r="K32" s="9">
        <f>IFERROR(macrs($D$6,$D$7,$M32,$D32,TRUE),1)</f>
        <v>1</v>
      </c>
      <c r="M32" s="6">
        <v>0</v>
      </c>
    </row>
    <row r="33" spans="2:13" x14ac:dyDescent="0.25">
      <c r="B33" s="13">
        <v>2.6309624863170688E-3</v>
      </c>
      <c r="D33" s="5">
        <v>20</v>
      </c>
      <c r="E33" s="18">
        <f t="shared" si="0"/>
        <v>5.2619249726341373</v>
      </c>
      <c r="F33" s="2">
        <f t="shared" si="1"/>
        <v>2.5651884241591421</v>
      </c>
      <c r="G33" s="2">
        <f t="shared" si="2"/>
        <v>5.2619249726341373</v>
      </c>
      <c r="I33" s="8">
        <f t="shared" si="3"/>
        <v>0.48749999999999999</v>
      </c>
      <c r="K33" s="9">
        <f>IFERROR(macrs($D$6,$D$7,$M33,$D33,TRUE),1)</f>
        <v>1</v>
      </c>
      <c r="M33" s="6">
        <v>0</v>
      </c>
    </row>
    <row r="34" spans="2:13" x14ac:dyDescent="0.25">
      <c r="B34" s="13">
        <v>2.9464435416444962E-3</v>
      </c>
      <c r="D34" s="5">
        <v>21</v>
      </c>
      <c r="E34" s="18">
        <f t="shared" si="0"/>
        <v>5.8928870832889926</v>
      </c>
      <c r="F34" s="2">
        <f t="shared" si="1"/>
        <v>3.0201046301856085</v>
      </c>
      <c r="G34" s="2">
        <f t="shared" si="2"/>
        <v>5.8928870832889926</v>
      </c>
      <c r="I34" s="8">
        <f t="shared" si="3"/>
        <v>0.51249999999999996</v>
      </c>
      <c r="K34" s="9">
        <f>IFERROR(macrs($D$6,$D$7,$M34,$D34,TRUE),1)</f>
        <v>1</v>
      </c>
      <c r="M34" s="6">
        <v>0</v>
      </c>
    </row>
    <row r="35" spans="2:13" x14ac:dyDescent="0.25">
      <c r="B35" s="13">
        <v>3.2619249722503751E-3</v>
      </c>
      <c r="D35" s="5">
        <v>22</v>
      </c>
      <c r="E35" s="18">
        <f t="shared" si="0"/>
        <v>6.5238499445007498</v>
      </c>
      <c r="F35" s="2">
        <f t="shared" si="1"/>
        <v>3.5065693451691531</v>
      </c>
      <c r="G35" s="2">
        <f t="shared" si="2"/>
        <v>6.5238499445007498</v>
      </c>
      <c r="I35" s="8">
        <f t="shared" si="3"/>
        <v>0.53749999999999998</v>
      </c>
      <c r="K35" s="9">
        <f>IFERROR(macrs($D$6,$D$7,$M35,$D35,TRUE),1)</f>
        <v>1</v>
      </c>
      <c r="M35" s="6">
        <v>0</v>
      </c>
    </row>
    <row r="36" spans="2:13" x14ac:dyDescent="0.25">
      <c r="B36" s="13">
        <v>3.5774053165012962E-3</v>
      </c>
      <c r="D36" s="5">
        <v>23</v>
      </c>
      <c r="E36" s="18">
        <f t="shared" si="0"/>
        <v>7.154810633002592</v>
      </c>
      <c r="F36" s="2">
        <f t="shared" si="1"/>
        <v>4.0245809810639583</v>
      </c>
      <c r="G36" s="2">
        <f t="shared" si="2"/>
        <v>7.154810633002592</v>
      </c>
      <c r="I36" s="8">
        <f t="shared" si="3"/>
        <v>0.5625</v>
      </c>
      <c r="K36" s="9">
        <f>IFERROR(macrs($D$6,$D$7,$M36,$D36,TRUE),1)</f>
        <v>1</v>
      </c>
      <c r="M36" s="6">
        <v>0</v>
      </c>
    </row>
    <row r="37" spans="2:13" x14ac:dyDescent="0.25">
      <c r="B37" s="13">
        <v>3.8928867293522053E-3</v>
      </c>
      <c r="D37" s="5">
        <v>24</v>
      </c>
      <c r="E37" s="18">
        <f t="shared" si="0"/>
        <v>7.7857734587044103</v>
      </c>
      <c r="F37" s="2">
        <f t="shared" si="1"/>
        <v>4.5741419069888414</v>
      </c>
      <c r="G37" s="2">
        <f t="shared" si="2"/>
        <v>7.7857734587044103</v>
      </c>
      <c r="I37" s="8">
        <f t="shared" si="3"/>
        <v>0.58750000000000002</v>
      </c>
      <c r="K37" s="9">
        <f>IFERROR(macrs($D$6,$D$7,$M37,$D37,TRUE),1)</f>
        <v>1</v>
      </c>
      <c r="M37" s="6">
        <v>0</v>
      </c>
    </row>
    <row r="38" spans="2:13" x14ac:dyDescent="0.25">
      <c r="B38" s="13">
        <v>4.2083677928684273E-3</v>
      </c>
      <c r="D38" s="5">
        <v>25</v>
      </c>
      <c r="E38" s="18">
        <f t="shared" si="0"/>
        <v>8.4167355857368555</v>
      </c>
      <c r="F38" s="2">
        <f t="shared" si="1"/>
        <v>5.1552505462638241</v>
      </c>
      <c r="G38" s="2">
        <f t="shared" si="2"/>
        <v>8.4167355857368555</v>
      </c>
      <c r="I38" s="8">
        <f t="shared" si="3"/>
        <v>0.61250000000000004</v>
      </c>
      <c r="K38" s="9">
        <f>IFERROR(macrs($D$6,$D$7,$M38,$D38,TRUE),1)</f>
        <v>1</v>
      </c>
      <c r="M38" s="6">
        <v>0</v>
      </c>
    </row>
    <row r="39" spans="2:13" x14ac:dyDescent="0.25">
      <c r="B39" s="13">
        <v>4.5238481271694083E-3</v>
      </c>
      <c r="D39" s="5">
        <v>26</v>
      </c>
      <c r="E39" s="18">
        <f t="shared" si="0"/>
        <v>9.0476962543388169</v>
      </c>
      <c r="F39" s="2">
        <f t="shared" si="1"/>
        <v>5.7679063621409954</v>
      </c>
      <c r="G39" s="2">
        <f t="shared" si="2"/>
        <v>9.0476962543388169</v>
      </c>
      <c r="I39" s="8">
        <f t="shared" si="3"/>
        <v>0.63749999999999996</v>
      </c>
      <c r="K39" s="9">
        <f>IFERROR(macrs($D$6,$D$7,$M39,$D39,TRUE),1)</f>
        <v>1</v>
      </c>
      <c r="M39" s="6">
        <v>0</v>
      </c>
    </row>
    <row r="40" spans="2:13" x14ac:dyDescent="0.25">
      <c r="B40" s="13">
        <v>4.8393291917001834E-3</v>
      </c>
      <c r="D40" s="5">
        <v>27</v>
      </c>
      <c r="E40" s="18">
        <f t="shared" si="0"/>
        <v>9.6786583834003661</v>
      </c>
      <c r="F40" s="2">
        <f t="shared" si="1"/>
        <v>6.4121111790027427</v>
      </c>
      <c r="G40" s="2">
        <f t="shared" si="2"/>
        <v>9.6786583834003661</v>
      </c>
      <c r="I40" s="8">
        <f t="shared" si="3"/>
        <v>0.66249999999999998</v>
      </c>
      <c r="K40" s="9">
        <f>IFERROR(macrs($D$6,$D$7,$M40,$D40,TRUE),1)</f>
        <v>1</v>
      </c>
      <c r="M40" s="6">
        <v>0</v>
      </c>
    </row>
    <row r="41" spans="2:13" x14ac:dyDescent="0.25">
      <c r="B41" s="13">
        <v>5.1548098773053297E-3</v>
      </c>
      <c r="D41" s="5">
        <v>28</v>
      </c>
      <c r="E41" s="18">
        <f t="shared" si="0"/>
        <v>10.30961975461066</v>
      </c>
      <c r="F41" s="2">
        <f t="shared" si="1"/>
        <v>7.0878635812948287</v>
      </c>
      <c r="G41" s="2">
        <f t="shared" si="2"/>
        <v>10.30961975461066</v>
      </c>
      <c r="I41" s="8">
        <f t="shared" si="3"/>
        <v>0.6875</v>
      </c>
      <c r="K41" s="9">
        <f>IFERROR(macrs($D$6,$D$7,$M41,$D41,TRUE),1)</f>
        <v>1</v>
      </c>
      <c r="M41" s="6">
        <v>0</v>
      </c>
    </row>
    <row r="42" spans="2:13" x14ac:dyDescent="0.25">
      <c r="B42" s="13">
        <v>5.4702911272446735E-3</v>
      </c>
      <c r="D42" s="5">
        <v>29</v>
      </c>
      <c r="E42" s="18">
        <f t="shared" si="0"/>
        <v>10.940582254489348</v>
      </c>
      <c r="F42" s="2">
        <f t="shared" si="1"/>
        <v>7.7951648563236606</v>
      </c>
      <c r="G42" s="2">
        <f t="shared" si="2"/>
        <v>10.940582254489348</v>
      </c>
      <c r="I42" s="8">
        <f t="shared" si="3"/>
        <v>0.71250000000000002</v>
      </c>
      <c r="K42" s="9">
        <f>IFERROR(macrs($D$6,$D$7,$M42,$D42,TRUE),1)</f>
        <v>1</v>
      </c>
      <c r="M42" s="6">
        <v>0</v>
      </c>
    </row>
    <row r="43" spans="2:13" x14ac:dyDescent="0.25">
      <c r="B43" s="13">
        <v>5.7857714606255996E-3</v>
      </c>
      <c r="D43" s="5">
        <v>30</v>
      </c>
      <c r="E43" s="18">
        <f t="shared" si="0"/>
        <v>11.571542921251199</v>
      </c>
      <c r="F43" s="2">
        <f t="shared" si="1"/>
        <v>8.5340129044227595</v>
      </c>
      <c r="G43" s="2">
        <f t="shared" si="2"/>
        <v>11.571542921251199</v>
      </c>
      <c r="I43" s="8">
        <f t="shared" si="3"/>
        <v>0.73750000000000004</v>
      </c>
      <c r="K43" s="9">
        <f>IFERROR(macrs($D$6,$D$7,$M43,$D43,TRUE),1)</f>
        <v>1</v>
      </c>
      <c r="M43" s="6">
        <v>0</v>
      </c>
    </row>
    <row r="44" spans="2:13" x14ac:dyDescent="0.25">
      <c r="B44" s="13">
        <v>6.1012527002943986E-3</v>
      </c>
      <c r="D44" s="5">
        <v>31</v>
      </c>
      <c r="E44" s="18">
        <f t="shared" si="0"/>
        <v>12.202505400588796</v>
      </c>
      <c r="F44" s="2">
        <f t="shared" si="1"/>
        <v>9.3044103679489574</v>
      </c>
      <c r="G44" s="2">
        <f t="shared" si="2"/>
        <v>12.202505400588796</v>
      </c>
      <c r="I44" s="8">
        <f t="shared" si="3"/>
        <v>0.76249999999999996</v>
      </c>
      <c r="K44" s="9">
        <f>IFERROR(macrs($D$6,$D$7,$M44,$D44,TRUE),1)</f>
        <v>1</v>
      </c>
      <c r="M44" s="6">
        <v>0</v>
      </c>
    </row>
    <row r="45" spans="2:13" x14ac:dyDescent="0.25">
      <c r="B45" s="13">
        <v>6.4167332210252857E-3</v>
      </c>
      <c r="D45" s="5">
        <v>32</v>
      </c>
      <c r="E45" s="18">
        <f t="shared" si="0"/>
        <v>12.833466442050572</v>
      </c>
      <c r="F45" s="2">
        <f t="shared" si="1"/>
        <v>10.106354823114826</v>
      </c>
      <c r="G45" s="2">
        <f t="shared" si="2"/>
        <v>12.833466442050572</v>
      </c>
      <c r="I45" s="8">
        <f t="shared" si="3"/>
        <v>0.78749999999999998</v>
      </c>
      <c r="K45" s="9">
        <f>IFERROR(macrs($D$6,$D$7,$M45,$D45,TRUE),1)</f>
        <v>1</v>
      </c>
      <c r="M45" s="6">
        <v>0</v>
      </c>
    </row>
    <row r="46" spans="2:13" x14ac:dyDescent="0.25">
      <c r="B46" s="13">
        <v>6.7322142817509284E-3</v>
      </c>
      <c r="D46" s="5">
        <v>33</v>
      </c>
      <c r="E46" s="18">
        <f t="shared" si="0"/>
        <v>13.464428563501857</v>
      </c>
      <c r="F46" s="2">
        <f t="shared" si="1"/>
        <v>10.939848207845259</v>
      </c>
      <c r="G46" s="2">
        <f t="shared" si="2"/>
        <v>13.464428563501857</v>
      </c>
      <c r="I46" s="8">
        <f t="shared" si="3"/>
        <v>0.8125</v>
      </c>
      <c r="K46" s="9">
        <f>IFERROR(macrs($D$6,$D$7,$M46,$D46,TRUE),1)</f>
        <v>1</v>
      </c>
      <c r="M46" s="6">
        <v>0</v>
      </c>
    </row>
    <row r="47" spans="2:13" x14ac:dyDescent="0.25">
      <c r="B47" s="13">
        <v>7.047695497400891E-3</v>
      </c>
      <c r="D47" s="5">
        <v>34</v>
      </c>
      <c r="E47" s="18">
        <f t="shared" si="0"/>
        <v>14.095390994801782</v>
      </c>
      <c r="F47" s="2">
        <f t="shared" si="1"/>
        <v>11.804889958146493</v>
      </c>
      <c r="G47" s="2">
        <f t="shared" si="2"/>
        <v>14.095390994801782</v>
      </c>
      <c r="I47" s="8">
        <f t="shared" si="3"/>
        <v>0.83750000000000002</v>
      </c>
      <c r="K47" s="9">
        <f>IFERROR(macrs($D$6,$D$7,$M47,$D47,TRUE),1)</f>
        <v>1</v>
      </c>
      <c r="M47" s="6">
        <v>0</v>
      </c>
    </row>
    <row r="48" spans="2:13" x14ac:dyDescent="0.25">
      <c r="B48" s="13">
        <v>7.3631759520758179E-3</v>
      </c>
      <c r="D48" s="5">
        <v>35</v>
      </c>
      <c r="E48" s="18">
        <f t="shared" si="0"/>
        <v>14.726351904151636</v>
      </c>
      <c r="F48" s="2">
        <f t="shared" si="1"/>
        <v>12.701478517330788</v>
      </c>
      <c r="G48" s="2">
        <f t="shared" si="2"/>
        <v>14.726351904151636</v>
      </c>
      <c r="I48" s="8">
        <f t="shared" si="3"/>
        <v>0.86250000000000004</v>
      </c>
      <c r="K48" s="9">
        <f>IFERROR(macrs($D$6,$D$7,$M48,$D48,TRUE),1)</f>
        <v>1</v>
      </c>
      <c r="M48" s="6">
        <v>0</v>
      </c>
    </row>
    <row r="49" spans="2:13" x14ac:dyDescent="0.25">
      <c r="B49" s="13">
        <v>7.6786572709885009E-3</v>
      </c>
      <c r="D49" s="5">
        <v>36</v>
      </c>
      <c r="E49" s="18">
        <f t="shared" si="0"/>
        <v>15.357314541977003</v>
      </c>
      <c r="F49" s="2">
        <f t="shared" si="1"/>
        <v>13.62961665600459</v>
      </c>
      <c r="G49" s="2">
        <f t="shared" si="2"/>
        <v>15.357314541977003</v>
      </c>
      <c r="I49" s="8">
        <f t="shared" si="3"/>
        <v>0.88749999999999996</v>
      </c>
      <c r="K49" s="9">
        <f>IFERROR(macrs($D$6,$D$7,$M49,$D49,TRUE),1)</f>
        <v>1</v>
      </c>
      <c r="M49" s="6">
        <v>0</v>
      </c>
    </row>
    <row r="50" spans="2:13" x14ac:dyDescent="0.25">
      <c r="B50" s="13">
        <v>7.9941378884585291E-3</v>
      </c>
      <c r="D50" s="5">
        <v>37</v>
      </c>
      <c r="E50" s="18">
        <f t="shared" si="0"/>
        <v>15.988275776917058</v>
      </c>
      <c r="F50" s="2">
        <f t="shared" si="1"/>
        <v>14.589301646436816</v>
      </c>
      <c r="G50" s="2">
        <f t="shared" si="2"/>
        <v>15.988275776917058</v>
      </c>
      <c r="I50" s="8">
        <f t="shared" si="3"/>
        <v>0.91249999999999998</v>
      </c>
      <c r="K50" s="9">
        <f>IFERROR(macrs($D$6,$D$7,$M50,$D50,TRUE),1)</f>
        <v>1</v>
      </c>
      <c r="M50" s="6">
        <v>0</v>
      </c>
    </row>
    <row r="51" spans="2:13" x14ac:dyDescent="0.25">
      <c r="B51" s="13">
        <v>8.309618675729007E-3</v>
      </c>
      <c r="D51" s="5">
        <v>38</v>
      </c>
      <c r="E51" s="18">
        <f t="shared" si="0"/>
        <v>16.619237351458015</v>
      </c>
      <c r="F51" s="2">
        <f t="shared" si="1"/>
        <v>15.580535016991888</v>
      </c>
      <c r="G51" s="2">
        <f t="shared" si="2"/>
        <v>16.619237351458015</v>
      </c>
      <c r="I51" s="8">
        <f t="shared" si="3"/>
        <v>0.9375</v>
      </c>
      <c r="K51" s="9">
        <f>IFERROR(macrs($D$6,$D$7,$M51,$D51,TRUE),1)</f>
        <v>1</v>
      </c>
      <c r="M51" s="6">
        <v>0</v>
      </c>
    </row>
    <row r="52" spans="2:13" x14ac:dyDescent="0.25">
      <c r="B52" s="13">
        <v>8.6250996717231031E-3</v>
      </c>
      <c r="D52" s="5">
        <v>39</v>
      </c>
      <c r="E52" s="18">
        <f t="shared" si="0"/>
        <v>17.250199343446205</v>
      </c>
      <c r="F52" s="2">
        <f t="shared" si="1"/>
        <v>16.603316868066972</v>
      </c>
      <c r="G52" s="2">
        <f t="shared" si="2"/>
        <v>17.250199343446205</v>
      </c>
      <c r="I52" s="8">
        <f t="shared" si="3"/>
        <v>0.96250000000000002</v>
      </c>
      <c r="K52" s="9">
        <f>IFERROR(macrs($D$6,$D$7,$M52,$D52,TRUE),1)</f>
        <v>1</v>
      </c>
      <c r="M52" s="6">
        <v>0</v>
      </c>
    </row>
    <row r="53" spans="2:13" x14ac:dyDescent="0.25">
      <c r="B53" s="13">
        <v>8.9405805573161603E-3</v>
      </c>
      <c r="D53" s="5">
        <v>40</v>
      </c>
      <c r="E53" s="18">
        <f t="shared" si="0"/>
        <v>17.88116111463232</v>
      </c>
      <c r="F53" s="2">
        <f t="shared" si="1"/>
        <v>17.657646600699415</v>
      </c>
      <c r="G53" s="2">
        <f t="shared" si="2"/>
        <v>17.88116111463232</v>
      </c>
      <c r="I53" s="8">
        <f t="shared" si="3"/>
        <v>0.98750000000000004</v>
      </c>
      <c r="K53" s="9">
        <f>IFERROR(macrs($D$6,$D$7,$M53,$D53,TRUE),1)</f>
        <v>1</v>
      </c>
      <c r="M53" s="6">
        <v>0</v>
      </c>
    </row>
    <row r="54" spans="2:13" x14ac:dyDescent="0.25">
      <c r="B54" s="13">
        <v>1.0185489076284216E-2</v>
      </c>
      <c r="D54" s="5">
        <v>41</v>
      </c>
      <c r="E54" s="18">
        <f t="shared" si="0"/>
        <v>20.37097815256843</v>
      </c>
      <c r="F54" s="2">
        <f t="shared" si="1"/>
        <v>20.37097815256843</v>
      </c>
      <c r="G54" s="2">
        <f t="shared" si="2"/>
        <v>20.37097815256843</v>
      </c>
      <c r="I54" s="8">
        <f t="shared" si="3"/>
        <v>1</v>
      </c>
      <c r="K54" s="9">
        <f>IFERROR(macrs($D$6,$D$7,$M54,$D54,TRUE),1)</f>
        <v>1</v>
      </c>
      <c r="M54" s="6">
        <v>0</v>
      </c>
    </row>
    <row r="55" spans="2:13" x14ac:dyDescent="0.25">
      <c r="D55" s="5">
        <v>42</v>
      </c>
      <c r="E55" s="2"/>
      <c r="F55" s="2">
        <f t="shared" si="1"/>
        <v>0</v>
      </c>
      <c r="G55" s="2">
        <f t="shared" si="2"/>
        <v>0</v>
      </c>
      <c r="I55" s="8">
        <f t="shared" si="3"/>
        <v>1</v>
      </c>
      <c r="K55" s="9">
        <f>IFERROR(macrs($D$6,$D$7,$M55,$D55,TRUE),1)</f>
        <v>1</v>
      </c>
    </row>
    <row r="56" spans="2:13" x14ac:dyDescent="0.25">
      <c r="D56" s="4" t="s">
        <v>3</v>
      </c>
      <c r="E56" s="3">
        <f t="shared" ref="E56" si="4">SUM(E14:E55)</f>
        <v>2000.0000002314655</v>
      </c>
      <c r="F56" s="3">
        <f t="shared" ref="F56" si="5">SUM(F14:F55)</f>
        <v>400.00000021076352</v>
      </c>
      <c r="G56" s="3">
        <f t="shared" ref="G56" si="6">SUM(G14:G55)</f>
        <v>1057.423089296833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E72F22-1AF9-4C4E-B260-5233AF5F7A37}">
  <ds:schemaRefs>
    <ds:schemaRef ds:uri="http://www.w3.org/2001/XMLSchema"/>
    <ds:schemaRef ds:uri="http://www.boozallen.com/argo/gui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Plant in Service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Conklin, Michael B</cp:lastModifiedBy>
  <dcterms:created xsi:type="dcterms:W3CDTF">2018-01-04T13:09:01Z</dcterms:created>
  <dcterms:modified xsi:type="dcterms:W3CDTF">2018-01-06T14:00:48Z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{C20D0B74-FA5E-431A-A1F6-8814105FB682}</vt:lpwstr>
  </property>
</Properties>
</file>