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00220278\Desktop\Rate Base Model\"/>
    </mc:Choice>
  </mc:AlternateContent>
  <bookViews>
    <workbookView xWindow="0" yWindow="0" windowWidth="18870" windowHeight="7035"/>
  </bookViews>
  <sheets>
    <sheet name="Financial Forecast" sheetId="7" r:id="rId1"/>
    <sheet name="Rate Base &amp; Revenue Req" sheetId="10" r:id="rId2"/>
    <sheet name="Assumptions" sheetId="9" r:id="rId3"/>
    <sheet name="2016YE Plant in Service" sheetId="2" r:id="rId4"/>
    <sheet name="Addtl Plant in Service" sheetId="6" r:id="rId5"/>
  </sheets>
  <functionGroups builtInGroupCount="18"/>
  <definedNames>
    <definedName name="solver_adj" localSheetId="3" hidden="1">'2016YE Plant in Service'!$A$14:$A$54</definedName>
    <definedName name="solver_adj" localSheetId="4" hidden="1">'Addtl Plant in Service'!$A$14:$A$54</definedName>
    <definedName name="solver_cvg" localSheetId="3" hidden="1">0.0001</definedName>
    <definedName name="solver_cvg" localSheetId="4" hidden="1">0.0001</definedName>
    <definedName name="solver_drv" localSheetId="3" hidden="1">1</definedName>
    <definedName name="solver_drv" localSheetId="4" hidden="1">1</definedName>
    <definedName name="solver_eng" localSheetId="3" hidden="1">1</definedName>
    <definedName name="solver_eng" localSheetId="4" hidden="1">1</definedName>
    <definedName name="solver_est" localSheetId="3" hidden="1">1</definedName>
    <definedName name="solver_est" localSheetId="4" hidden="1">1</definedName>
    <definedName name="solver_itr" localSheetId="3" hidden="1">2147483647</definedName>
    <definedName name="solver_itr" localSheetId="4" hidden="1">2147483647</definedName>
    <definedName name="solver_lhs1" localSheetId="3" hidden="1">'2016YE Plant in Service'!$A$14:$A$54</definedName>
    <definedName name="solver_lhs1" localSheetId="4" hidden="1">'Addtl Plant in Service'!$A$14:$A$54</definedName>
    <definedName name="solver_lhs2" localSheetId="3" hidden="1">'2016YE Plant in Service'!$B$59</definedName>
    <definedName name="solver_lhs2" localSheetId="4" hidden="1">'Addtl Plant in Service'!$B$59</definedName>
    <definedName name="solver_lhs3" localSheetId="3" hidden="1">'2016YE Plant in Service'!$B$60</definedName>
    <definedName name="solver_lhs3" localSheetId="4" hidden="1">'Addtl Plant in Service'!$B$60</definedName>
    <definedName name="solver_mip" localSheetId="3" hidden="1">2147483647</definedName>
    <definedName name="solver_mip" localSheetId="4" hidden="1">2147483647</definedName>
    <definedName name="solver_mni" localSheetId="3" hidden="1">30</definedName>
    <definedName name="solver_mni" localSheetId="4" hidden="1">30</definedName>
    <definedName name="solver_mrt" localSheetId="3" hidden="1">0.075</definedName>
    <definedName name="solver_mrt" localSheetId="4" hidden="1">0.075</definedName>
    <definedName name="solver_msl" localSheetId="3" hidden="1">2</definedName>
    <definedName name="solver_msl" localSheetId="4" hidden="1">2</definedName>
    <definedName name="solver_neg" localSheetId="3" hidden="1">1</definedName>
    <definedName name="solver_neg" localSheetId="4" hidden="1">1</definedName>
    <definedName name="solver_nod" localSheetId="3" hidden="1">2147483647</definedName>
    <definedName name="solver_nod" localSheetId="4" hidden="1">2147483647</definedName>
    <definedName name="solver_num" localSheetId="3" hidden="1">2</definedName>
    <definedName name="solver_num" localSheetId="4" hidden="1">2</definedName>
    <definedName name="solver_nwt" localSheetId="3" hidden="1">1</definedName>
    <definedName name="solver_nwt" localSheetId="4" hidden="1">1</definedName>
    <definedName name="solver_opt" localSheetId="3" hidden="1">'2016YE Plant in Service'!$D$59</definedName>
    <definedName name="solver_opt" localSheetId="4" hidden="1">'Addtl Plant in Service'!$D$59</definedName>
    <definedName name="solver_pre" localSheetId="3" hidden="1">0.000001</definedName>
    <definedName name="solver_pre" localSheetId="4" hidden="1">0.000001</definedName>
    <definedName name="solver_rbv" localSheetId="3" hidden="1">1</definedName>
    <definedName name="solver_rbv" localSheetId="4" hidden="1">1</definedName>
    <definedName name="solver_rel1" localSheetId="3" hidden="1">3</definedName>
    <definedName name="solver_rel1" localSheetId="4" hidden="1">3</definedName>
    <definedName name="solver_rel2" localSheetId="3" hidden="1">2</definedName>
    <definedName name="solver_rel2" localSheetId="4" hidden="1">2</definedName>
    <definedName name="solver_rel3" localSheetId="3" hidden="1">1</definedName>
    <definedName name="solver_rel3" localSheetId="4" hidden="1">1</definedName>
    <definedName name="solver_rhs1" localSheetId="3" hidden="1">0</definedName>
    <definedName name="solver_rhs1" localSheetId="4" hidden="1">0</definedName>
    <definedName name="solver_rhs2" localSheetId="3" hidden="1">1</definedName>
    <definedName name="solver_rhs2" localSheetId="4" hidden="1">1</definedName>
    <definedName name="solver_rhs3" localSheetId="3" hidden="1">0.15</definedName>
    <definedName name="solver_rhs3" localSheetId="4" hidden="1">0.15</definedName>
    <definedName name="solver_rlx" localSheetId="3" hidden="1">2</definedName>
    <definedName name="solver_rlx" localSheetId="4" hidden="1">2</definedName>
    <definedName name="solver_rsd" localSheetId="3" hidden="1">0</definedName>
    <definedName name="solver_rsd" localSheetId="4" hidden="1">0</definedName>
    <definedName name="solver_scl" localSheetId="3" hidden="1">1</definedName>
    <definedName name="solver_scl" localSheetId="4" hidden="1">1</definedName>
    <definedName name="solver_sho" localSheetId="3" hidden="1">2</definedName>
    <definedName name="solver_sho" localSheetId="4" hidden="1">2</definedName>
    <definedName name="solver_ssz" localSheetId="3" hidden="1">100</definedName>
    <definedName name="solver_ssz" localSheetId="4" hidden="1">100</definedName>
    <definedName name="solver_tim" localSheetId="3" hidden="1">2147483647</definedName>
    <definedName name="solver_tim" localSheetId="4" hidden="1">2147483647</definedName>
    <definedName name="solver_tol" localSheetId="3" hidden="1">0.01</definedName>
    <definedName name="solver_tol" localSheetId="4" hidden="1">0.01</definedName>
    <definedName name="solver_typ" localSheetId="3" hidden="1">3</definedName>
    <definedName name="solver_typ" localSheetId="4" hidden="1">3</definedName>
    <definedName name="solver_val" localSheetId="3" hidden="1">1756</definedName>
    <definedName name="solver_val" localSheetId="4" hidden="1">1756</definedName>
    <definedName name="solver_ver" localSheetId="3" hidden="1">3</definedName>
    <definedName name="solver_ver" localSheetId="4" hidden="1">3</definedName>
  </definedNames>
  <calcPr calcId="171027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7" l="1"/>
  <c r="I4" i="7" s="1"/>
  <c r="J4" i="7" s="1"/>
  <c r="K4" i="7" s="1"/>
  <c r="G4" i="7"/>
  <c r="F56" i="10"/>
  <c r="G56" i="10" s="1"/>
  <c r="H56" i="10" s="1"/>
  <c r="I56" i="10" s="1"/>
  <c r="J56" i="10" s="1"/>
  <c r="K56" i="10" s="1"/>
  <c r="F45" i="10"/>
  <c r="G45" i="10" s="1"/>
  <c r="H45" i="10" s="1"/>
  <c r="I45" i="10" s="1"/>
  <c r="J45" i="10" s="1"/>
  <c r="K45" i="10" s="1"/>
  <c r="F33" i="10"/>
  <c r="G33" i="10" s="1"/>
  <c r="H33" i="10" s="1"/>
  <c r="I33" i="10" s="1"/>
  <c r="J33" i="10" s="1"/>
  <c r="K33" i="10" s="1"/>
  <c r="F5" i="10"/>
  <c r="G5" i="10" s="1"/>
  <c r="H5" i="10" s="1"/>
  <c r="I5" i="10" s="1"/>
  <c r="J5" i="10" s="1"/>
  <c r="K5" i="10" s="1"/>
  <c r="H110" i="9"/>
  <c r="I110" i="9" s="1"/>
  <c r="J110" i="9" s="1"/>
  <c r="K110" i="9" s="1"/>
  <c r="L110" i="9" s="1"/>
  <c r="M110" i="9" s="1"/>
  <c r="H71" i="9"/>
  <c r="I71" i="9" s="1"/>
  <c r="J71" i="9" s="1"/>
  <c r="K71" i="9" s="1"/>
  <c r="L71" i="9" s="1"/>
  <c r="M71" i="9" s="1"/>
  <c r="H32" i="9"/>
  <c r="I32" i="9" s="1"/>
  <c r="J32" i="9" s="1"/>
  <c r="K32" i="9" s="1"/>
  <c r="L32" i="9" s="1"/>
  <c r="M32" i="9" s="1"/>
  <c r="I16" i="9"/>
  <c r="J16" i="9"/>
  <c r="K16" i="9" s="1"/>
  <c r="L16" i="9" s="1"/>
  <c r="M16" i="9" s="1"/>
  <c r="H16" i="9"/>
  <c r="G60" i="10"/>
  <c r="F52" i="10"/>
  <c r="F49" i="10"/>
  <c r="F47" i="10"/>
  <c r="F39" i="10"/>
  <c r="F37" i="10"/>
  <c r="F36" i="10"/>
  <c r="F35" i="10"/>
  <c r="F23" i="10"/>
  <c r="F22" i="10"/>
  <c r="F21" i="10"/>
  <c r="F15" i="10"/>
  <c r="F14" i="10"/>
  <c r="D5" i="6"/>
  <c r="D3" i="6"/>
  <c r="D4" i="6"/>
  <c r="D2" i="6"/>
  <c r="D5" i="2"/>
  <c r="D4" i="2"/>
  <c r="D3" i="2"/>
  <c r="D2" i="2"/>
  <c r="H88" i="9"/>
  <c r="F48" i="10" s="1"/>
  <c r="H130" i="9"/>
  <c r="I126" i="9" s="1"/>
  <c r="M116" i="9" l="1"/>
  <c r="L116" i="9"/>
  <c r="K116" i="9"/>
  <c r="J116" i="9"/>
  <c r="I114" i="9"/>
  <c r="M146" i="9"/>
  <c r="L146" i="9"/>
  <c r="K146" i="9"/>
  <c r="J146" i="9"/>
  <c r="I144" i="9"/>
  <c r="M140" i="9"/>
  <c r="L140" i="9"/>
  <c r="K140" i="9"/>
  <c r="J140" i="9"/>
  <c r="I138" i="9"/>
  <c r="M134" i="9"/>
  <c r="L134" i="9"/>
  <c r="K134" i="9"/>
  <c r="J134" i="9"/>
  <c r="M133" i="9"/>
  <c r="K133" i="9"/>
  <c r="J133" i="9"/>
  <c r="I133" i="9"/>
  <c r="I132" i="9"/>
  <c r="I121" i="9"/>
  <c r="J121" i="9"/>
  <c r="K121" i="9"/>
  <c r="M121" i="9"/>
  <c r="M122" i="9"/>
  <c r="L122" i="9"/>
  <c r="K122" i="9"/>
  <c r="J122" i="9"/>
  <c r="I120" i="9"/>
  <c r="J19" i="9"/>
  <c r="K19" i="9" s="1"/>
  <c r="L19" i="9" s="1"/>
  <c r="M19" i="9" s="1"/>
  <c r="J99" i="9"/>
  <c r="K99" i="9"/>
  <c r="L99" i="9"/>
  <c r="M99" i="9"/>
  <c r="J93" i="9"/>
  <c r="K93" i="9"/>
  <c r="L93" i="9"/>
  <c r="M93" i="9"/>
  <c r="J81" i="9"/>
  <c r="K81" i="9"/>
  <c r="L81" i="9"/>
  <c r="M81" i="9"/>
  <c r="J76" i="9"/>
  <c r="K76" i="9"/>
  <c r="L76" i="9"/>
  <c r="M76" i="9"/>
  <c r="J54" i="9"/>
  <c r="K54" i="9"/>
  <c r="L54" i="9"/>
  <c r="M54" i="9"/>
  <c r="I97" i="9"/>
  <c r="G92" i="9"/>
  <c r="H95" i="9"/>
  <c r="I80" i="9"/>
  <c r="I73" i="9"/>
  <c r="I75" i="9" s="1"/>
  <c r="I28" i="9"/>
  <c r="J28" i="9" s="1"/>
  <c r="K28" i="9" s="1"/>
  <c r="L28" i="9" s="1"/>
  <c r="M28" i="9" s="1"/>
  <c r="H27" i="9"/>
  <c r="I18" i="9"/>
  <c r="I21" i="9"/>
  <c r="I24" i="9"/>
  <c r="G14" i="10" s="1"/>
  <c r="I25" i="9"/>
  <c r="G15" i="10" s="1"/>
  <c r="I22" i="9"/>
  <c r="H10" i="9"/>
  <c r="H56" i="9"/>
  <c r="M53" i="9"/>
  <c r="L53" i="9"/>
  <c r="K53" i="9"/>
  <c r="J53" i="9"/>
  <c r="I53" i="9"/>
  <c r="K36" i="9"/>
  <c r="L36" i="9"/>
  <c r="M36" i="9"/>
  <c r="J36" i="9"/>
  <c r="I52" i="9" l="1"/>
  <c r="F9" i="10"/>
  <c r="J21" i="9"/>
  <c r="G22" i="10"/>
  <c r="J22" i="9"/>
  <c r="H23" i="10" s="1"/>
  <c r="G23" i="10"/>
  <c r="J18" i="9"/>
  <c r="G21" i="10"/>
  <c r="I90" i="9"/>
  <c r="I92" i="9" s="1"/>
  <c r="F50" i="10"/>
  <c r="F38" i="10"/>
  <c r="I146" i="9"/>
  <c r="I81" i="9"/>
  <c r="I122" i="9"/>
  <c r="I124" i="9" s="1"/>
  <c r="G59" i="10" s="1"/>
  <c r="J25" i="9"/>
  <c r="I140" i="9"/>
  <c r="I134" i="9"/>
  <c r="I136" i="9" s="1"/>
  <c r="G61" i="10" s="1"/>
  <c r="I76" i="9"/>
  <c r="I78" i="9" s="1"/>
  <c r="I99" i="9"/>
  <c r="I93" i="9"/>
  <c r="I54" i="9"/>
  <c r="I27" i="9"/>
  <c r="J24" i="9"/>
  <c r="J27" i="9" l="1"/>
  <c r="H14" i="10"/>
  <c r="K22" i="9"/>
  <c r="I23" i="10" s="1"/>
  <c r="K25" i="9"/>
  <c r="H15" i="10"/>
  <c r="K18" i="9"/>
  <c r="H21" i="10"/>
  <c r="K21" i="9"/>
  <c r="H22" i="10"/>
  <c r="G47" i="10"/>
  <c r="G6" i="7" s="1"/>
  <c r="G35" i="10"/>
  <c r="J120" i="9"/>
  <c r="J124" i="9" s="1"/>
  <c r="J132" i="9"/>
  <c r="J136" i="9" s="1"/>
  <c r="I56" i="9"/>
  <c r="G9" i="10" s="1"/>
  <c r="J73" i="9"/>
  <c r="J75" i="9" s="1"/>
  <c r="L22" i="9"/>
  <c r="J23" i="10" s="1"/>
  <c r="K24" i="9"/>
  <c r="L18" i="9" l="1"/>
  <c r="I21" i="10"/>
  <c r="L21" i="9"/>
  <c r="I22" i="10"/>
  <c r="L25" i="9"/>
  <c r="I15" i="10"/>
  <c r="K27" i="9"/>
  <c r="I14" i="10"/>
  <c r="K132" i="9"/>
  <c r="K136" i="9" s="1"/>
  <c r="I61" i="10" s="1"/>
  <c r="H61" i="10"/>
  <c r="K120" i="9"/>
  <c r="K124" i="9" s="1"/>
  <c r="I59" i="10" s="1"/>
  <c r="H59" i="10"/>
  <c r="J52" i="9"/>
  <c r="J56" i="9" s="1"/>
  <c r="H9" i="10" s="1"/>
  <c r="J78" i="9"/>
  <c r="M22" i="9"/>
  <c r="K23" i="10" s="1"/>
  <c r="L24" i="9"/>
  <c r="AB55" i="6"/>
  <c r="L55" i="6" s="1"/>
  <c r="AB54" i="6"/>
  <c r="AB53" i="6"/>
  <c r="AB52" i="6"/>
  <c r="AB51" i="6"/>
  <c r="AB50" i="6"/>
  <c r="AB49" i="6"/>
  <c r="AB48" i="6"/>
  <c r="AB47" i="6"/>
  <c r="AB46" i="6"/>
  <c r="AB45" i="6"/>
  <c r="AB44" i="6"/>
  <c r="AB43" i="6"/>
  <c r="AB42" i="6"/>
  <c r="AB41" i="6"/>
  <c r="AB40" i="6"/>
  <c r="AB39" i="6"/>
  <c r="AB38" i="6"/>
  <c r="AB37" i="6"/>
  <c r="AB36" i="6"/>
  <c r="AB35" i="6"/>
  <c r="AB34" i="6"/>
  <c r="AB33" i="6"/>
  <c r="AB32" i="6"/>
  <c r="AB31" i="6"/>
  <c r="AB30" i="6"/>
  <c r="AB29" i="6"/>
  <c r="AB28" i="6"/>
  <c r="AB27" i="6"/>
  <c r="AB26" i="6"/>
  <c r="AB25" i="6"/>
  <c r="AB24" i="6"/>
  <c r="AB23" i="6"/>
  <c r="AB22" i="6"/>
  <c r="AB21" i="6"/>
  <c r="AB20" i="6"/>
  <c r="AB19" i="6"/>
  <c r="AB18" i="6"/>
  <c r="AB17" i="6"/>
  <c r="AB16" i="6"/>
  <c r="AB15" i="6"/>
  <c r="AB14" i="6"/>
  <c r="F14" i="6"/>
  <c r="D14" i="6"/>
  <c r="E14" i="6"/>
  <c r="AD40" i="6"/>
  <c r="AD23" i="6"/>
  <c r="AD53" i="6"/>
  <c r="AD33" i="6"/>
  <c r="AD25" i="6"/>
  <c r="AD17" i="6"/>
  <c r="AD49" i="6"/>
  <c r="AD45" i="6"/>
  <c r="AD35" i="6"/>
  <c r="AD24" i="6"/>
  <c r="AD31" i="6"/>
  <c r="AD29" i="6"/>
  <c r="AD43" i="6"/>
  <c r="AD32" i="6"/>
  <c r="AD52" i="6"/>
  <c r="AD36" i="6"/>
  <c r="AD19" i="6"/>
  <c r="AD47" i="6"/>
  <c r="AD30" i="6"/>
  <c r="AD22" i="6"/>
  <c r="AD16" i="6"/>
  <c r="AD46" i="6"/>
  <c r="AD42" i="6"/>
  <c r="AD14" i="6"/>
  <c r="AD48" i="6"/>
  <c r="AD37" i="6"/>
  <c r="AD54" i="6"/>
  <c r="AD38" i="6"/>
  <c r="AD44" i="6"/>
  <c r="AD27" i="6"/>
  <c r="AD55" i="6"/>
  <c r="AD34" i="6"/>
  <c r="AD26" i="6"/>
  <c r="AD18" i="6"/>
  <c r="AD51" i="6"/>
  <c r="AD50" i="6"/>
  <c r="AD41" i="6"/>
  <c r="AD20" i="6"/>
  <c r="AD28" i="6"/>
  <c r="AD15" i="6"/>
  <c r="AD21" i="6"/>
  <c r="AD39" i="6"/>
  <c r="L27" i="9" l="1"/>
  <c r="J14" i="10"/>
  <c r="M21" i="9"/>
  <c r="K22" i="10" s="1"/>
  <c r="J22" i="10"/>
  <c r="M25" i="9"/>
  <c r="K15" i="10" s="1"/>
  <c r="J15" i="10"/>
  <c r="M18" i="9"/>
  <c r="K21" i="10" s="1"/>
  <c r="J21" i="10"/>
  <c r="K52" i="9"/>
  <c r="K56" i="9" s="1"/>
  <c r="I9" i="10" s="1"/>
  <c r="L132" i="9"/>
  <c r="H47" i="10"/>
  <c r="H6" i="7" s="1"/>
  <c r="H29" i="7" s="1"/>
  <c r="H35" i="10"/>
  <c r="L120" i="9"/>
  <c r="K73" i="9"/>
  <c r="K75" i="9" s="1"/>
  <c r="K78" i="9" s="1"/>
  <c r="L121" i="9"/>
  <c r="M24" i="9"/>
  <c r="V14" i="6"/>
  <c r="X14" i="6"/>
  <c r="W14" i="6"/>
  <c r="U55" i="6"/>
  <c r="G15" i="6"/>
  <c r="Y15" i="6" s="1"/>
  <c r="O14" i="6"/>
  <c r="F15" i="6"/>
  <c r="N14" i="6"/>
  <c r="G14" i="6"/>
  <c r="Y14" i="6" s="1"/>
  <c r="H14" i="6"/>
  <c r="Z14" i="6" s="1"/>
  <c r="E15" i="6"/>
  <c r="W15" i="6" s="1"/>
  <c r="M14" i="6"/>
  <c r="L52" i="9" l="1"/>
  <c r="L56" i="9" s="1"/>
  <c r="J9" i="10" s="1"/>
  <c r="L124" i="9"/>
  <c r="J59" i="10" s="1"/>
  <c r="I83" i="9"/>
  <c r="K14" i="10"/>
  <c r="I47" i="10"/>
  <c r="I6" i="7" s="1"/>
  <c r="I29" i="7" s="1"/>
  <c r="I35" i="10"/>
  <c r="G49" i="10"/>
  <c r="G8" i="7" s="1"/>
  <c r="G37" i="10"/>
  <c r="L73" i="9"/>
  <c r="L75" i="9" s="1"/>
  <c r="J80" i="9"/>
  <c r="J83" i="9" s="1"/>
  <c r="M27" i="9"/>
  <c r="O15" i="6"/>
  <c r="G16" i="6"/>
  <c r="N15" i="6"/>
  <c r="F16" i="6"/>
  <c r="P14" i="6"/>
  <c r="H15" i="6"/>
  <c r="H16" i="6"/>
  <c r="P15" i="6"/>
  <c r="Q14" i="6"/>
  <c r="X15" i="6"/>
  <c r="M52" i="9" l="1"/>
  <c r="M120" i="9"/>
  <c r="M124" i="9" s="1"/>
  <c r="K59" i="10" s="1"/>
  <c r="H49" i="10"/>
  <c r="H8" i="7" s="1"/>
  <c r="H31" i="7" s="1"/>
  <c r="H37" i="10"/>
  <c r="L78" i="9"/>
  <c r="L133" i="9"/>
  <c r="L136" i="9" s="1"/>
  <c r="J61" i="10" s="1"/>
  <c r="K80" i="9"/>
  <c r="K83" i="9" s="1"/>
  <c r="M56" i="9"/>
  <c r="K9" i="10" s="1"/>
  <c r="Q15" i="6"/>
  <c r="Z15" i="6"/>
  <c r="O16" i="6"/>
  <c r="G17" i="6"/>
  <c r="X16" i="6"/>
  <c r="Q16" i="6"/>
  <c r="Z16" i="6"/>
  <c r="H17" i="6"/>
  <c r="P16" i="6"/>
  <c r="Y16" i="6"/>
  <c r="I49" i="10" l="1"/>
  <c r="I8" i="7" s="1"/>
  <c r="I31" i="7" s="1"/>
  <c r="I37" i="10"/>
  <c r="J47" i="10"/>
  <c r="J6" i="7" s="1"/>
  <c r="J29" i="7" s="1"/>
  <c r="J35" i="10"/>
  <c r="M73" i="9"/>
  <c r="M75" i="9" s="1"/>
  <c r="M78" i="9" s="1"/>
  <c r="M132" i="9"/>
  <c r="M136" i="9" s="1"/>
  <c r="K61" i="10" s="1"/>
  <c r="L80" i="9"/>
  <c r="L83" i="9" s="1"/>
  <c r="Q17" i="6"/>
  <c r="Z17" i="6"/>
  <c r="H18" i="6"/>
  <c r="P17" i="6"/>
  <c r="Y17" i="6"/>
  <c r="J49" i="10" l="1"/>
  <c r="J8" i="7" s="1"/>
  <c r="J31" i="7" s="1"/>
  <c r="J37" i="10"/>
  <c r="K47" i="10"/>
  <c r="K6" i="7" s="1"/>
  <c r="K29" i="7" s="1"/>
  <c r="K35" i="10"/>
  <c r="M80" i="9"/>
  <c r="M83" i="9" s="1"/>
  <c r="Q18" i="6"/>
  <c r="Z18" i="6"/>
  <c r="K49" i="10" l="1"/>
  <c r="K8" i="7" s="1"/>
  <c r="K37" i="10"/>
  <c r="M6" i="7"/>
  <c r="D9" i="2"/>
  <c r="I35" i="9" s="1"/>
  <c r="E9" i="2"/>
  <c r="J35" i="9" s="1"/>
  <c r="F9" i="2"/>
  <c r="M8" i="7" l="1"/>
  <c r="K31" i="7"/>
  <c r="G9" i="2"/>
  <c r="K35" i="9"/>
  <c r="H9" i="2" l="1"/>
  <c r="M35" i="9" s="1"/>
  <c r="L35" i="9"/>
  <c r="AB15" i="2" l="1"/>
  <c r="L15" i="2" s="1"/>
  <c r="AB16" i="2"/>
  <c r="L16" i="2" s="1"/>
  <c r="AB17" i="2"/>
  <c r="L17" i="2" s="1"/>
  <c r="AB18" i="2"/>
  <c r="L18" i="2" s="1"/>
  <c r="AB19" i="2"/>
  <c r="L19" i="2" s="1"/>
  <c r="AB20" i="2"/>
  <c r="L20" i="2" s="1"/>
  <c r="AB21" i="2"/>
  <c r="L21" i="2" s="1"/>
  <c r="AB22" i="2"/>
  <c r="L22" i="2" s="1"/>
  <c r="AB23" i="2"/>
  <c r="L23" i="2" s="1"/>
  <c r="AB24" i="2"/>
  <c r="L24" i="2" s="1"/>
  <c r="AB25" i="2"/>
  <c r="L25" i="2" s="1"/>
  <c r="AB26" i="2"/>
  <c r="L26" i="2" s="1"/>
  <c r="AB27" i="2"/>
  <c r="L27" i="2" s="1"/>
  <c r="AB28" i="2"/>
  <c r="L28" i="2" s="1"/>
  <c r="AB29" i="2"/>
  <c r="L29" i="2" s="1"/>
  <c r="AB30" i="2"/>
  <c r="L30" i="2" s="1"/>
  <c r="AB31" i="2"/>
  <c r="L31" i="2" s="1"/>
  <c r="AB32" i="2"/>
  <c r="L32" i="2" s="1"/>
  <c r="AB33" i="2"/>
  <c r="L33" i="2" s="1"/>
  <c r="AB34" i="2"/>
  <c r="L34" i="2" s="1"/>
  <c r="AB35" i="2"/>
  <c r="L35" i="2" s="1"/>
  <c r="AB36" i="2"/>
  <c r="L36" i="2" s="1"/>
  <c r="AB37" i="2"/>
  <c r="L37" i="2" s="1"/>
  <c r="AB38" i="2"/>
  <c r="L38" i="2" s="1"/>
  <c r="AB39" i="2"/>
  <c r="L39" i="2" s="1"/>
  <c r="AB40" i="2"/>
  <c r="L40" i="2" s="1"/>
  <c r="AB41" i="2"/>
  <c r="L41" i="2" s="1"/>
  <c r="AB42" i="2"/>
  <c r="L42" i="2" s="1"/>
  <c r="AB43" i="2"/>
  <c r="L43" i="2" s="1"/>
  <c r="AB44" i="2"/>
  <c r="L44" i="2" s="1"/>
  <c r="AB45" i="2"/>
  <c r="L45" i="2" s="1"/>
  <c r="AB46" i="2"/>
  <c r="L46" i="2" s="1"/>
  <c r="AB47" i="2"/>
  <c r="L47" i="2" s="1"/>
  <c r="AB48" i="2"/>
  <c r="L48" i="2" s="1"/>
  <c r="AB49" i="2"/>
  <c r="L49" i="2" s="1"/>
  <c r="AB50" i="2"/>
  <c r="L50" i="2" s="1"/>
  <c r="AB51" i="2"/>
  <c r="L51" i="2" s="1"/>
  <c r="AB52" i="2"/>
  <c r="L52" i="2" s="1"/>
  <c r="AB53" i="2"/>
  <c r="L53" i="2" s="1"/>
  <c r="AB54" i="2"/>
  <c r="L54" i="2" s="1"/>
  <c r="AB55" i="2"/>
  <c r="L55" i="2" s="1"/>
  <c r="AB14" i="2"/>
  <c r="AD46" i="2"/>
  <c r="AD15" i="2"/>
  <c r="AD18" i="2"/>
  <c r="AD40" i="2"/>
  <c r="AD43" i="2"/>
  <c r="AD21" i="2"/>
  <c r="AD31" i="2"/>
  <c r="AD25" i="2"/>
  <c r="AD45" i="2"/>
  <c r="AD29" i="2"/>
  <c r="AD52" i="2"/>
  <c r="AD35" i="2"/>
  <c r="AD51" i="2"/>
  <c r="AD38" i="2"/>
  <c r="AD34" i="2"/>
  <c r="AD44" i="2"/>
  <c r="AD20" i="2"/>
  <c r="AD53" i="2"/>
  <c r="AD48" i="2"/>
  <c r="AD16" i="2"/>
  <c r="AD54" i="2"/>
  <c r="AD26" i="2"/>
  <c r="AD50" i="2"/>
  <c r="AD28" i="2"/>
  <c r="AD17" i="2"/>
  <c r="AD47" i="2"/>
  <c r="AD42" i="2"/>
  <c r="AD36" i="2"/>
  <c r="AD24" i="2"/>
  <c r="AD39" i="2"/>
  <c r="AD41" i="2"/>
  <c r="AD23" i="2"/>
  <c r="AD14" i="2"/>
  <c r="AD55" i="2"/>
  <c r="AD22" i="2"/>
  <c r="AD27" i="2"/>
  <c r="AD30" i="2"/>
  <c r="AD37" i="2"/>
  <c r="AD33" i="2"/>
  <c r="L14" i="2" l="1"/>
  <c r="U14" i="2"/>
  <c r="U46" i="2"/>
  <c r="U30" i="2"/>
  <c r="U18" i="2"/>
  <c r="U53" i="2"/>
  <c r="U45" i="2"/>
  <c r="U41" i="2"/>
  <c r="U37" i="2"/>
  <c r="U33" i="2"/>
  <c r="U29" i="2"/>
  <c r="U25" i="2"/>
  <c r="U21" i="2"/>
  <c r="U17" i="2"/>
  <c r="U54" i="2"/>
  <c r="U42" i="2"/>
  <c r="U34" i="2"/>
  <c r="U26" i="2"/>
  <c r="U52" i="2"/>
  <c r="U48" i="2"/>
  <c r="U44" i="2"/>
  <c r="U40" i="2"/>
  <c r="U36" i="2"/>
  <c r="U28" i="2"/>
  <c r="U24" i="2"/>
  <c r="U20" i="2"/>
  <c r="U16" i="2"/>
  <c r="U50" i="2"/>
  <c r="U38" i="2"/>
  <c r="U22" i="2"/>
  <c r="U51" i="2"/>
  <c r="U47" i="2"/>
  <c r="U43" i="2"/>
  <c r="U39" i="2"/>
  <c r="U35" i="2"/>
  <c r="U31" i="2"/>
  <c r="U27" i="2"/>
  <c r="U23" i="2"/>
  <c r="U15" i="2"/>
  <c r="U55" i="2"/>
  <c r="AD32" i="2"/>
  <c r="AD19" i="2"/>
  <c r="AD49" i="2"/>
  <c r="U49" i="2" l="1"/>
  <c r="U32" i="2"/>
  <c r="U19" i="2"/>
  <c r="D14" i="2"/>
  <c r="E15" i="2" s="1"/>
  <c r="N15" i="2" l="1"/>
  <c r="W15" i="2"/>
  <c r="M14" i="2"/>
  <c r="V14" i="2"/>
  <c r="F16" i="2"/>
  <c r="D15" i="2"/>
  <c r="D16" i="2"/>
  <c r="F14" i="2"/>
  <c r="E14" i="2"/>
  <c r="F15" i="2" l="1"/>
  <c r="N14" i="2"/>
  <c r="W14" i="2"/>
  <c r="G15" i="2"/>
  <c r="H16" i="2" s="1"/>
  <c r="O14" i="2"/>
  <c r="X14" i="2"/>
  <c r="M16" i="2"/>
  <c r="V16" i="2"/>
  <c r="O16" i="2"/>
  <c r="X16" i="2"/>
  <c r="M15" i="2"/>
  <c r="V15" i="2"/>
  <c r="G16" i="2"/>
  <c r="G17" i="2"/>
  <c r="E16" i="2"/>
  <c r="D17" i="2"/>
  <c r="E17" i="2"/>
  <c r="M17" i="2" l="1"/>
  <c r="V17" i="2"/>
  <c r="P16" i="2"/>
  <c r="Y16" i="2"/>
  <c r="O15" i="2"/>
  <c r="X15" i="2"/>
  <c r="N16" i="2"/>
  <c r="W16" i="2"/>
  <c r="P15" i="2"/>
  <c r="Y15" i="2"/>
  <c r="P17" i="2"/>
  <c r="Y17" i="2"/>
  <c r="N17" i="2"/>
  <c r="W17" i="2"/>
  <c r="Q16" i="2"/>
  <c r="Z16" i="2"/>
  <c r="H18" i="2"/>
  <c r="H17" i="2"/>
  <c r="F17" i="2"/>
  <c r="F18" i="2"/>
  <c r="E18" i="2"/>
  <c r="D18" i="2"/>
  <c r="O18" i="2" l="1"/>
  <c r="X18" i="2"/>
  <c r="O17" i="2"/>
  <c r="X17" i="2"/>
  <c r="M18" i="2"/>
  <c r="V18" i="2"/>
  <c r="Q17" i="2"/>
  <c r="Z17" i="2"/>
  <c r="N18" i="2"/>
  <c r="W18" i="2"/>
  <c r="Q18" i="2"/>
  <c r="Z18" i="2"/>
  <c r="G18" i="2"/>
  <c r="F19" i="2"/>
  <c r="G19" i="2"/>
  <c r="D19" i="2"/>
  <c r="E19" i="2"/>
  <c r="N19" i="2" l="1"/>
  <c r="W19" i="2"/>
  <c r="P18" i="2"/>
  <c r="Y18" i="2"/>
  <c r="P19" i="2"/>
  <c r="Y19" i="2"/>
  <c r="O19" i="2"/>
  <c r="X19" i="2"/>
  <c r="M19" i="2"/>
  <c r="V19" i="2"/>
  <c r="H19" i="2"/>
  <c r="H20" i="2"/>
  <c r="F20" i="2"/>
  <c r="G20" i="2"/>
  <c r="E20" i="2"/>
  <c r="D20" i="2"/>
  <c r="O20" i="2" l="1"/>
  <c r="X20" i="2"/>
  <c r="M20" i="2"/>
  <c r="V20" i="2"/>
  <c r="Q20" i="2"/>
  <c r="Z20" i="2"/>
  <c r="N20" i="2"/>
  <c r="W20" i="2"/>
  <c r="Q19" i="2"/>
  <c r="Z19" i="2"/>
  <c r="P20" i="2"/>
  <c r="Y20" i="2"/>
  <c r="H21" i="2"/>
  <c r="E21" i="2"/>
  <c r="G21" i="2"/>
  <c r="F21" i="2"/>
  <c r="D21" i="2"/>
  <c r="M21" i="2" l="1"/>
  <c r="V21" i="2"/>
  <c r="Q21" i="2"/>
  <c r="Z21" i="2"/>
  <c r="O21" i="2"/>
  <c r="X21" i="2"/>
  <c r="P21" i="2"/>
  <c r="Y21" i="2"/>
  <c r="N21" i="2"/>
  <c r="W21" i="2"/>
  <c r="H22" i="2"/>
  <c r="E22" i="2"/>
  <c r="F22" i="2"/>
  <c r="D22" i="2"/>
  <c r="G22" i="2"/>
  <c r="O22" i="2" l="1"/>
  <c r="X22" i="2"/>
  <c r="N22" i="2"/>
  <c r="W22" i="2"/>
  <c r="P22" i="2"/>
  <c r="Y22" i="2"/>
  <c r="Q22" i="2"/>
  <c r="Z22" i="2"/>
  <c r="M22" i="2"/>
  <c r="V22" i="2"/>
  <c r="H23" i="2"/>
  <c r="F23" i="2"/>
  <c r="E23" i="2"/>
  <c r="D23" i="2"/>
  <c r="G23" i="2"/>
  <c r="P23" i="2" l="1"/>
  <c r="Y23" i="2"/>
  <c r="N23" i="2"/>
  <c r="W23" i="2"/>
  <c r="O23" i="2"/>
  <c r="X23" i="2"/>
  <c r="Q23" i="2"/>
  <c r="Z23" i="2"/>
  <c r="M23" i="2"/>
  <c r="V23" i="2"/>
  <c r="F24" i="2"/>
  <c r="H24" i="2"/>
  <c r="G24" i="2"/>
  <c r="D24" i="2"/>
  <c r="E24" i="2"/>
  <c r="Q24" i="2" l="1"/>
  <c r="Z24" i="2"/>
  <c r="N24" i="2"/>
  <c r="W24" i="2"/>
  <c r="O24" i="2"/>
  <c r="X24" i="2"/>
  <c r="P24" i="2"/>
  <c r="Y24" i="2"/>
  <c r="M24" i="2"/>
  <c r="V24" i="2"/>
  <c r="H25" i="2"/>
  <c r="F25" i="2"/>
  <c r="E25" i="2"/>
  <c r="G25" i="2"/>
  <c r="D25" i="2"/>
  <c r="M25" i="2" l="1"/>
  <c r="V25" i="2"/>
  <c r="Q25" i="2"/>
  <c r="Z25" i="2"/>
  <c r="N25" i="2"/>
  <c r="W25" i="2"/>
  <c r="O25" i="2"/>
  <c r="X25" i="2"/>
  <c r="P25" i="2"/>
  <c r="Y25" i="2"/>
  <c r="E26" i="2"/>
  <c r="G26" i="2"/>
  <c r="D26" i="2"/>
  <c r="H26" i="2"/>
  <c r="F26" i="2"/>
  <c r="M26" i="2" l="1"/>
  <c r="V26" i="2"/>
  <c r="O26" i="2"/>
  <c r="X26" i="2"/>
  <c r="N26" i="2"/>
  <c r="W26" i="2"/>
  <c r="P26" i="2"/>
  <c r="Y26" i="2"/>
  <c r="Q26" i="2"/>
  <c r="Z26" i="2"/>
  <c r="E27" i="2"/>
  <c r="G27" i="2"/>
  <c r="H27" i="2"/>
  <c r="F27" i="2"/>
  <c r="D27" i="2"/>
  <c r="M27" i="2" l="1"/>
  <c r="V27" i="2"/>
  <c r="N27" i="2"/>
  <c r="W27" i="2"/>
  <c r="Q27" i="2"/>
  <c r="Z27" i="2"/>
  <c r="P27" i="2"/>
  <c r="Y27" i="2"/>
  <c r="O27" i="2"/>
  <c r="X27" i="2"/>
  <c r="E28" i="2"/>
  <c r="G28" i="2"/>
  <c r="H28" i="2"/>
  <c r="F28" i="2"/>
  <c r="D28" i="2"/>
  <c r="Q28" i="2" l="1"/>
  <c r="Z28" i="2"/>
  <c r="P28" i="2"/>
  <c r="Y28" i="2"/>
  <c r="M28" i="2"/>
  <c r="V28" i="2"/>
  <c r="N28" i="2"/>
  <c r="W28" i="2"/>
  <c r="O28" i="2"/>
  <c r="X28" i="2"/>
  <c r="G29" i="2"/>
  <c r="H29" i="2"/>
  <c r="E29" i="2"/>
  <c r="F29" i="2"/>
  <c r="D29" i="2"/>
  <c r="P29" i="2" l="1"/>
  <c r="Y29" i="2"/>
  <c r="N29" i="2"/>
  <c r="W29" i="2"/>
  <c r="Q29" i="2"/>
  <c r="Z29" i="2"/>
  <c r="M29" i="2"/>
  <c r="V29" i="2"/>
  <c r="O29" i="2"/>
  <c r="X29" i="2"/>
  <c r="E30" i="2"/>
  <c r="F30" i="2"/>
  <c r="H30" i="2"/>
  <c r="G30" i="2"/>
  <c r="D30" i="2"/>
  <c r="Q30" i="2" l="1"/>
  <c r="Z30" i="2"/>
  <c r="O30" i="2"/>
  <c r="X30" i="2"/>
  <c r="M30" i="2"/>
  <c r="V30" i="2"/>
  <c r="N30" i="2"/>
  <c r="W30" i="2"/>
  <c r="P30" i="2"/>
  <c r="Y30" i="2"/>
  <c r="H31" i="2"/>
  <c r="G31" i="2"/>
  <c r="E31" i="2"/>
  <c r="F31" i="2"/>
  <c r="D31" i="2"/>
  <c r="M31" i="2" l="1"/>
  <c r="V31" i="2"/>
  <c r="N31" i="2"/>
  <c r="W31" i="2"/>
  <c r="P31" i="2"/>
  <c r="Y31" i="2"/>
  <c r="Q31" i="2"/>
  <c r="Z31" i="2"/>
  <c r="O31" i="2"/>
  <c r="X31" i="2"/>
  <c r="G32" i="2"/>
  <c r="H32" i="2"/>
  <c r="E32" i="2"/>
  <c r="F32" i="2"/>
  <c r="D32" i="2"/>
  <c r="Q32" i="2" l="1"/>
  <c r="Z32" i="2"/>
  <c r="M32" i="2"/>
  <c r="V32" i="2"/>
  <c r="P32" i="2"/>
  <c r="Y32" i="2"/>
  <c r="N32" i="2"/>
  <c r="W32" i="2"/>
  <c r="O32" i="2"/>
  <c r="X32" i="2"/>
  <c r="G33" i="2"/>
  <c r="E33" i="2"/>
  <c r="F33" i="2"/>
  <c r="H33" i="2"/>
  <c r="D33" i="2"/>
  <c r="P33" i="2" l="1"/>
  <c r="Y33" i="2"/>
  <c r="O33" i="2"/>
  <c r="X33" i="2"/>
  <c r="N33" i="2"/>
  <c r="W33" i="2"/>
  <c r="M33" i="2"/>
  <c r="V33" i="2"/>
  <c r="Q33" i="2"/>
  <c r="Z33" i="2"/>
  <c r="E34" i="2"/>
  <c r="F34" i="2"/>
  <c r="G34" i="2"/>
  <c r="H34" i="2"/>
  <c r="D34" i="2"/>
  <c r="O34" i="2" l="1"/>
  <c r="X34" i="2"/>
  <c r="M34" i="2"/>
  <c r="V34" i="2"/>
  <c r="N34" i="2"/>
  <c r="W34" i="2"/>
  <c r="P34" i="2"/>
  <c r="Y34" i="2"/>
  <c r="Q34" i="2"/>
  <c r="Z34" i="2"/>
  <c r="E35" i="2"/>
  <c r="H35" i="2"/>
  <c r="F35" i="2"/>
  <c r="G35" i="2"/>
  <c r="D35" i="2"/>
  <c r="M35" i="2" l="1"/>
  <c r="V35" i="2"/>
  <c r="N35" i="2"/>
  <c r="W35" i="2"/>
  <c r="O35" i="2"/>
  <c r="X35" i="2"/>
  <c r="Q35" i="2"/>
  <c r="Z35" i="2"/>
  <c r="P35" i="2"/>
  <c r="Y35" i="2"/>
  <c r="H36" i="2"/>
  <c r="E36" i="2"/>
  <c r="G36" i="2"/>
  <c r="F36" i="2"/>
  <c r="D36" i="2"/>
  <c r="P36" i="2" l="1"/>
  <c r="Y36" i="2"/>
  <c r="N36" i="2"/>
  <c r="W36" i="2"/>
  <c r="M36" i="2"/>
  <c r="V36" i="2"/>
  <c r="Q36" i="2"/>
  <c r="Z36" i="2"/>
  <c r="O36" i="2"/>
  <c r="X36" i="2"/>
  <c r="E37" i="2"/>
  <c r="G37" i="2"/>
  <c r="F37" i="2"/>
  <c r="H37" i="2"/>
  <c r="D37" i="2"/>
  <c r="M37" i="2" l="1"/>
  <c r="V37" i="2"/>
  <c r="N37" i="2"/>
  <c r="W37" i="2"/>
  <c r="O37" i="2"/>
  <c r="X37" i="2"/>
  <c r="P37" i="2"/>
  <c r="Y37" i="2"/>
  <c r="Q37" i="2"/>
  <c r="Z37" i="2"/>
  <c r="E38" i="2"/>
  <c r="H38" i="2"/>
  <c r="G38" i="2"/>
  <c r="F38" i="2"/>
  <c r="D38" i="2"/>
  <c r="P38" i="2" l="1"/>
  <c r="Y38" i="2"/>
  <c r="Q38" i="2"/>
  <c r="Z38" i="2"/>
  <c r="M38" i="2"/>
  <c r="V38" i="2"/>
  <c r="N38" i="2"/>
  <c r="W38" i="2"/>
  <c r="O38" i="2"/>
  <c r="X38" i="2"/>
  <c r="E39" i="2"/>
  <c r="F39" i="2"/>
  <c r="H39" i="2"/>
  <c r="G39" i="2"/>
  <c r="D39" i="2"/>
  <c r="M39" i="2" l="1"/>
  <c r="V39" i="2"/>
  <c r="N39" i="2"/>
  <c r="W39" i="2"/>
  <c r="P39" i="2"/>
  <c r="Y39" i="2"/>
  <c r="Q39" i="2"/>
  <c r="Z39" i="2"/>
  <c r="O39" i="2"/>
  <c r="X39" i="2"/>
  <c r="H40" i="2"/>
  <c r="G40" i="2"/>
  <c r="E40" i="2"/>
  <c r="F40" i="2"/>
  <c r="D40" i="2"/>
  <c r="P40" i="2" l="1"/>
  <c r="Y40" i="2"/>
  <c r="M40" i="2"/>
  <c r="V40" i="2"/>
  <c r="Q40" i="2"/>
  <c r="Z40" i="2"/>
  <c r="N40" i="2"/>
  <c r="W40" i="2"/>
  <c r="O40" i="2"/>
  <c r="X40" i="2"/>
  <c r="G41" i="2"/>
  <c r="H41" i="2"/>
  <c r="E41" i="2"/>
  <c r="F41" i="2"/>
  <c r="D41" i="2"/>
  <c r="P41" i="2" l="1"/>
  <c r="Y41" i="2"/>
  <c r="N41" i="2"/>
  <c r="W41" i="2"/>
  <c r="Q41" i="2"/>
  <c r="Z41" i="2"/>
  <c r="M41" i="2"/>
  <c r="V41" i="2"/>
  <c r="O41" i="2"/>
  <c r="X41" i="2"/>
  <c r="E42" i="2"/>
  <c r="G42" i="2"/>
  <c r="F42" i="2"/>
  <c r="H42" i="2"/>
  <c r="D42" i="2"/>
  <c r="O42" i="2" l="1"/>
  <c r="X42" i="2"/>
  <c r="P42" i="2"/>
  <c r="Y42" i="2"/>
  <c r="M42" i="2"/>
  <c r="V42" i="2"/>
  <c r="N42" i="2"/>
  <c r="W42" i="2"/>
  <c r="Q42" i="2"/>
  <c r="Z42" i="2"/>
  <c r="E43" i="2"/>
  <c r="G43" i="2"/>
  <c r="F43" i="2"/>
  <c r="H43" i="2"/>
  <c r="D43" i="2"/>
  <c r="M43" i="2" l="1"/>
  <c r="V43" i="2"/>
  <c r="O43" i="2"/>
  <c r="X43" i="2"/>
  <c r="P43" i="2"/>
  <c r="Y43" i="2"/>
  <c r="N43" i="2"/>
  <c r="W43" i="2"/>
  <c r="Q43" i="2"/>
  <c r="Z43" i="2"/>
  <c r="E44" i="2"/>
  <c r="H44" i="2"/>
  <c r="G44" i="2"/>
  <c r="F44" i="2"/>
  <c r="D44" i="2"/>
  <c r="P44" i="2" l="1"/>
  <c r="Y44" i="2"/>
  <c r="Q44" i="2"/>
  <c r="Z44" i="2"/>
  <c r="M44" i="2"/>
  <c r="V44" i="2"/>
  <c r="N44" i="2"/>
  <c r="W44" i="2"/>
  <c r="O44" i="2"/>
  <c r="X44" i="2"/>
  <c r="G45" i="2"/>
  <c r="E45" i="2"/>
  <c r="H45" i="2"/>
  <c r="F45" i="2"/>
  <c r="D45" i="2"/>
  <c r="M45" i="2" l="1"/>
  <c r="V45" i="2"/>
  <c r="P45" i="2"/>
  <c r="Y45" i="2"/>
  <c r="Q45" i="2"/>
  <c r="Z45" i="2"/>
  <c r="N45" i="2"/>
  <c r="W45" i="2"/>
  <c r="O45" i="2"/>
  <c r="X45" i="2"/>
  <c r="G46" i="2"/>
  <c r="F46" i="2"/>
  <c r="E46" i="2"/>
  <c r="H46" i="2"/>
  <c r="D46" i="2"/>
  <c r="N46" i="2" l="1"/>
  <c r="W46" i="2"/>
  <c r="O46" i="2"/>
  <c r="X46" i="2"/>
  <c r="M46" i="2"/>
  <c r="V46" i="2"/>
  <c r="P46" i="2"/>
  <c r="Y46" i="2"/>
  <c r="Q46" i="2"/>
  <c r="Z46" i="2"/>
  <c r="G47" i="2"/>
  <c r="E47" i="2"/>
  <c r="F47" i="2"/>
  <c r="H47" i="2"/>
  <c r="D47" i="2"/>
  <c r="P47" i="2" l="1"/>
  <c r="Y47" i="2"/>
  <c r="Q47" i="2"/>
  <c r="Z47" i="2"/>
  <c r="O47" i="2"/>
  <c r="X47" i="2"/>
  <c r="N47" i="2"/>
  <c r="W47" i="2"/>
  <c r="M47" i="2"/>
  <c r="V47" i="2"/>
  <c r="F48" i="2"/>
  <c r="E48" i="2"/>
  <c r="G48" i="2"/>
  <c r="H48" i="2"/>
  <c r="D48" i="2"/>
  <c r="N48" i="2" l="1"/>
  <c r="W48" i="2"/>
  <c r="M48" i="2"/>
  <c r="V48" i="2"/>
  <c r="O48" i="2"/>
  <c r="X48" i="2"/>
  <c r="P48" i="2"/>
  <c r="Y48" i="2"/>
  <c r="Q48" i="2"/>
  <c r="Z48" i="2"/>
  <c r="F49" i="2"/>
  <c r="E49" i="2"/>
  <c r="H49" i="2"/>
  <c r="G49" i="2"/>
  <c r="D49" i="2"/>
  <c r="M49" i="2" l="1"/>
  <c r="V49" i="2"/>
  <c r="O49" i="2"/>
  <c r="X49" i="2"/>
  <c r="Q49" i="2"/>
  <c r="Z49" i="2"/>
  <c r="N49" i="2"/>
  <c r="W49" i="2"/>
  <c r="P49" i="2"/>
  <c r="Y49" i="2"/>
  <c r="G50" i="2"/>
  <c r="E50" i="2"/>
  <c r="H50" i="2"/>
  <c r="F50" i="2"/>
  <c r="D50" i="2"/>
  <c r="N50" i="2" l="1"/>
  <c r="W50" i="2"/>
  <c r="M50" i="2"/>
  <c r="V50" i="2"/>
  <c r="P50" i="2"/>
  <c r="Y50" i="2"/>
  <c r="Q50" i="2"/>
  <c r="Z50" i="2"/>
  <c r="O50" i="2"/>
  <c r="X50" i="2"/>
  <c r="H51" i="2"/>
  <c r="E51" i="2"/>
  <c r="G51" i="2"/>
  <c r="F51" i="2"/>
  <c r="D51" i="2"/>
  <c r="M51" i="2" l="1"/>
  <c r="V51" i="2"/>
  <c r="P51" i="2"/>
  <c r="Y51" i="2"/>
  <c r="N51" i="2"/>
  <c r="W51" i="2"/>
  <c r="Q51" i="2"/>
  <c r="Z51" i="2"/>
  <c r="O51" i="2"/>
  <c r="X51" i="2"/>
  <c r="G52" i="2"/>
  <c r="F52" i="2"/>
  <c r="E52" i="2"/>
  <c r="H52" i="2"/>
  <c r="D52" i="2"/>
  <c r="O52" i="2" l="1"/>
  <c r="X52" i="2"/>
  <c r="M52" i="2"/>
  <c r="V52" i="2"/>
  <c r="P52" i="2"/>
  <c r="Y52" i="2"/>
  <c r="N52" i="2"/>
  <c r="W52" i="2"/>
  <c r="Q52" i="2"/>
  <c r="Z52" i="2"/>
  <c r="E53" i="2"/>
  <c r="F53" i="2"/>
  <c r="H53" i="2"/>
  <c r="G53" i="2"/>
  <c r="D53" i="2"/>
  <c r="M53" i="2" l="1"/>
  <c r="V53" i="2"/>
  <c r="N53" i="2"/>
  <c r="W53" i="2"/>
  <c r="Q53" i="2"/>
  <c r="Z53" i="2"/>
  <c r="O53" i="2"/>
  <c r="X53" i="2"/>
  <c r="P53" i="2"/>
  <c r="Y53" i="2"/>
  <c r="G54" i="2"/>
  <c r="H54" i="2"/>
  <c r="E54" i="2"/>
  <c r="F54" i="2"/>
  <c r="D54" i="2"/>
  <c r="Q54" i="2" l="1"/>
  <c r="Z54" i="2"/>
  <c r="M54" i="2"/>
  <c r="V54" i="2"/>
  <c r="P54" i="2"/>
  <c r="Y54" i="2"/>
  <c r="N54" i="2"/>
  <c r="W54" i="2"/>
  <c r="O54" i="2"/>
  <c r="X54" i="2"/>
  <c r="L56" i="2"/>
  <c r="H44" i="9" s="1"/>
  <c r="F7" i="10" s="1"/>
  <c r="D55" i="2"/>
  <c r="D56" i="2" s="1"/>
  <c r="C56" i="2"/>
  <c r="H38" i="9" s="1"/>
  <c r="F6" i="10" s="1"/>
  <c r="F8" i="10" l="1"/>
  <c r="I34" i="9"/>
  <c r="I40" i="9"/>
  <c r="AJ14" i="2"/>
  <c r="M55" i="2"/>
  <c r="M56" i="2" s="1"/>
  <c r="V55" i="2"/>
  <c r="E55" i="2"/>
  <c r="I41" i="9" l="1"/>
  <c r="I85" i="9"/>
  <c r="N55" i="2"/>
  <c r="N56" i="2" s="1"/>
  <c r="W55" i="2"/>
  <c r="F55" i="2"/>
  <c r="G55" i="2" s="1"/>
  <c r="E56" i="2"/>
  <c r="AK14" i="2"/>
  <c r="I127" i="9" l="1"/>
  <c r="G36" i="10"/>
  <c r="J41" i="9"/>
  <c r="J85" i="9"/>
  <c r="D53" i="6"/>
  <c r="L52" i="6"/>
  <c r="U52" i="6"/>
  <c r="D37" i="6"/>
  <c r="L36" i="6"/>
  <c r="U36" i="6"/>
  <c r="D21" i="6"/>
  <c r="L20" i="6"/>
  <c r="U20" i="6"/>
  <c r="D42" i="6"/>
  <c r="L41" i="6"/>
  <c r="U41" i="6"/>
  <c r="D52" i="6"/>
  <c r="L51" i="6"/>
  <c r="U51" i="6"/>
  <c r="L35" i="6"/>
  <c r="D36" i="6"/>
  <c r="U35" i="6"/>
  <c r="L19" i="6"/>
  <c r="D20" i="6"/>
  <c r="U19" i="6"/>
  <c r="D38" i="6"/>
  <c r="L37" i="6"/>
  <c r="U37" i="6"/>
  <c r="L46" i="6"/>
  <c r="D47" i="6"/>
  <c r="U46" i="6"/>
  <c r="L30" i="6"/>
  <c r="D31" i="6"/>
  <c r="U30" i="6"/>
  <c r="D49" i="6"/>
  <c r="U48" i="6"/>
  <c r="L48" i="6"/>
  <c r="D33" i="6"/>
  <c r="L32" i="6"/>
  <c r="U32" i="6"/>
  <c r="D16" i="6"/>
  <c r="L15" i="6"/>
  <c r="U15" i="6"/>
  <c r="L29" i="6"/>
  <c r="D30" i="6"/>
  <c r="U29" i="6"/>
  <c r="D48" i="6"/>
  <c r="L47" i="6"/>
  <c r="U47" i="6"/>
  <c r="L31" i="6"/>
  <c r="D32" i="6"/>
  <c r="U31" i="6"/>
  <c r="L25" i="6"/>
  <c r="D26" i="6"/>
  <c r="U25" i="6"/>
  <c r="L42" i="6"/>
  <c r="D43" i="6"/>
  <c r="U42" i="6"/>
  <c r="L26" i="6"/>
  <c r="D27" i="6"/>
  <c r="U26" i="6"/>
  <c r="D46" i="6"/>
  <c r="U45" i="6"/>
  <c r="L45" i="6"/>
  <c r="D45" i="6"/>
  <c r="L44" i="6"/>
  <c r="U44" i="6"/>
  <c r="L28" i="6"/>
  <c r="D29" i="6"/>
  <c r="U28" i="6"/>
  <c r="D18" i="6"/>
  <c r="L17" i="6"/>
  <c r="U17" i="6"/>
  <c r="D22" i="6"/>
  <c r="L21" i="6"/>
  <c r="U21" i="6"/>
  <c r="D44" i="6"/>
  <c r="L43" i="6"/>
  <c r="U43" i="6"/>
  <c r="D28" i="6"/>
  <c r="L27" i="6"/>
  <c r="U27" i="6"/>
  <c r="D17" i="6"/>
  <c r="L16" i="6"/>
  <c r="U16" i="6"/>
  <c r="L54" i="6"/>
  <c r="D55" i="6"/>
  <c r="U54" i="6"/>
  <c r="L38" i="6"/>
  <c r="D39" i="6"/>
  <c r="U38" i="6"/>
  <c r="D23" i="6"/>
  <c r="L22" i="6"/>
  <c r="U22" i="6"/>
  <c r="D34" i="6"/>
  <c r="U33" i="6"/>
  <c r="L33" i="6"/>
  <c r="D41" i="6"/>
  <c r="L40" i="6"/>
  <c r="U40" i="6"/>
  <c r="L24" i="6"/>
  <c r="D25" i="6"/>
  <c r="U24" i="6"/>
  <c r="D54" i="6"/>
  <c r="L53" i="6"/>
  <c r="U53" i="6"/>
  <c r="L14" i="6"/>
  <c r="D15" i="6"/>
  <c r="C56" i="6"/>
  <c r="I36" i="9" s="1"/>
  <c r="U14" i="6"/>
  <c r="D40" i="6"/>
  <c r="L39" i="6"/>
  <c r="U39" i="6"/>
  <c r="D24" i="6"/>
  <c r="L23" i="6"/>
  <c r="U23" i="6"/>
  <c r="D50" i="6"/>
  <c r="U49" i="6"/>
  <c r="L49" i="6"/>
  <c r="D51" i="6"/>
  <c r="L50" i="6"/>
  <c r="U50" i="6"/>
  <c r="D35" i="6"/>
  <c r="L34" i="6"/>
  <c r="U34" i="6"/>
  <c r="L18" i="6"/>
  <c r="D19" i="6"/>
  <c r="U18" i="6"/>
  <c r="P55" i="2"/>
  <c r="Y55" i="2"/>
  <c r="O55" i="2"/>
  <c r="O56" i="2" s="1"/>
  <c r="X55" i="2"/>
  <c r="F56" i="2"/>
  <c r="H55" i="2"/>
  <c r="AL14" i="2"/>
  <c r="J127" i="9" l="1"/>
  <c r="H36" i="10"/>
  <c r="K41" i="9"/>
  <c r="K85" i="9"/>
  <c r="I38" i="9"/>
  <c r="G6" i="10" s="1"/>
  <c r="E51" i="6"/>
  <c r="M50" i="6"/>
  <c r="V50" i="6"/>
  <c r="E45" i="6"/>
  <c r="V44" i="6"/>
  <c r="M44" i="6"/>
  <c r="E30" i="6"/>
  <c r="M29" i="6"/>
  <c r="V29" i="6"/>
  <c r="E46" i="6"/>
  <c r="M45" i="6"/>
  <c r="V45" i="6"/>
  <c r="M43" i="6"/>
  <c r="E44" i="6"/>
  <c r="V43" i="6"/>
  <c r="M32" i="6"/>
  <c r="V32" i="6"/>
  <c r="E33" i="6"/>
  <c r="M48" i="6"/>
  <c r="V48" i="6"/>
  <c r="E49" i="6"/>
  <c r="E50" i="6"/>
  <c r="M49" i="6"/>
  <c r="V49" i="6"/>
  <c r="V21" i="6"/>
  <c r="E22" i="6"/>
  <c r="M21" i="6"/>
  <c r="V51" i="6"/>
  <c r="E52" i="6"/>
  <c r="M51" i="6"/>
  <c r="M15" i="6"/>
  <c r="E16" i="6"/>
  <c r="V15" i="6"/>
  <c r="D56" i="6"/>
  <c r="M54" i="6"/>
  <c r="E55" i="6"/>
  <c r="V54" i="6"/>
  <c r="M23" i="6"/>
  <c r="V23" i="6"/>
  <c r="E24" i="6"/>
  <c r="M28" i="6"/>
  <c r="E29" i="6"/>
  <c r="V28" i="6"/>
  <c r="L56" i="6"/>
  <c r="M27" i="6"/>
  <c r="E28" i="6"/>
  <c r="V27" i="6"/>
  <c r="M33" i="6"/>
  <c r="V33" i="6"/>
  <c r="E34" i="6"/>
  <c r="M47" i="6"/>
  <c r="E48" i="6"/>
  <c r="V47" i="6"/>
  <c r="M38" i="6"/>
  <c r="E39" i="6"/>
  <c r="V38" i="6"/>
  <c r="M42" i="6"/>
  <c r="E43" i="6"/>
  <c r="V42" i="6"/>
  <c r="M19" i="6"/>
  <c r="V19" i="6"/>
  <c r="E20" i="6"/>
  <c r="E36" i="6"/>
  <c r="M35" i="6"/>
  <c r="V35" i="6"/>
  <c r="M40" i="6"/>
  <c r="E41" i="6"/>
  <c r="V40" i="6"/>
  <c r="E35" i="6"/>
  <c r="M34" i="6"/>
  <c r="V34" i="6"/>
  <c r="M55" i="6"/>
  <c r="V55" i="6"/>
  <c r="M17" i="6"/>
  <c r="V17" i="6"/>
  <c r="E18" i="6"/>
  <c r="V18" i="6"/>
  <c r="E19" i="6"/>
  <c r="M18" i="6"/>
  <c r="E31" i="6"/>
  <c r="M30" i="6"/>
  <c r="V30" i="6"/>
  <c r="M16" i="6"/>
  <c r="V16" i="6"/>
  <c r="E17" i="6"/>
  <c r="M31" i="6"/>
  <c r="E32" i="6"/>
  <c r="V31" i="6"/>
  <c r="M36" i="6"/>
  <c r="E37" i="6"/>
  <c r="V36" i="6"/>
  <c r="M52" i="6"/>
  <c r="E53" i="6"/>
  <c r="V52" i="6"/>
  <c r="V53" i="6"/>
  <c r="E54" i="6"/>
  <c r="M53" i="6"/>
  <c r="M24" i="6"/>
  <c r="V24" i="6"/>
  <c r="E25" i="6"/>
  <c r="U56" i="6"/>
  <c r="AJ15" i="6" s="1"/>
  <c r="E26" i="6"/>
  <c r="V25" i="6"/>
  <c r="M25" i="6"/>
  <c r="M41" i="6"/>
  <c r="V41" i="6"/>
  <c r="E42" i="6"/>
  <c r="E40" i="6"/>
  <c r="V39" i="6"/>
  <c r="M39" i="6"/>
  <c r="E23" i="6"/>
  <c r="V22" i="6"/>
  <c r="M22" i="6"/>
  <c r="E47" i="6"/>
  <c r="M46" i="6"/>
  <c r="V46" i="6"/>
  <c r="E27" i="6"/>
  <c r="V26" i="6"/>
  <c r="M26" i="6"/>
  <c r="M20" i="6"/>
  <c r="V20" i="6"/>
  <c r="E21" i="6"/>
  <c r="V37" i="6"/>
  <c r="E38" i="6"/>
  <c r="M37" i="6"/>
  <c r="Q55" i="2"/>
  <c r="Z55" i="2"/>
  <c r="AM14" i="2"/>
  <c r="K127" i="9" l="1"/>
  <c r="I36" i="10"/>
  <c r="J34" i="9"/>
  <c r="J38" i="9" s="1"/>
  <c r="H6" i="10" s="1"/>
  <c r="N53" i="6"/>
  <c r="W53" i="6"/>
  <c r="F54" i="6"/>
  <c r="W17" i="6"/>
  <c r="N17" i="6"/>
  <c r="F18" i="6"/>
  <c r="N35" i="6"/>
  <c r="W35" i="6"/>
  <c r="F36" i="6"/>
  <c r="F44" i="6"/>
  <c r="W43" i="6"/>
  <c r="N43" i="6"/>
  <c r="N34" i="6"/>
  <c r="F35" i="6"/>
  <c r="W34" i="6"/>
  <c r="W28" i="6"/>
  <c r="N28" i="6"/>
  <c r="F29" i="6"/>
  <c r="W29" i="6"/>
  <c r="F30" i="6"/>
  <c r="N29" i="6"/>
  <c r="F23" i="6"/>
  <c r="W22" i="6"/>
  <c r="N22" i="6"/>
  <c r="F51" i="6"/>
  <c r="N50" i="6"/>
  <c r="W50" i="6"/>
  <c r="W33" i="6"/>
  <c r="F34" i="6"/>
  <c r="N33" i="6"/>
  <c r="W44" i="6"/>
  <c r="F45" i="6"/>
  <c r="N44" i="6"/>
  <c r="N46" i="6"/>
  <c r="F47" i="6"/>
  <c r="W46" i="6"/>
  <c r="N27" i="6"/>
  <c r="F28" i="6"/>
  <c r="W27" i="6"/>
  <c r="N38" i="6"/>
  <c r="W38" i="6"/>
  <c r="F39" i="6"/>
  <c r="F41" i="6"/>
  <c r="W40" i="6"/>
  <c r="N40" i="6"/>
  <c r="W25" i="6"/>
  <c r="N25" i="6"/>
  <c r="F26" i="6"/>
  <c r="N54" i="6"/>
  <c r="W54" i="6"/>
  <c r="F55" i="6"/>
  <c r="W31" i="6"/>
  <c r="N31" i="6"/>
  <c r="F32" i="6"/>
  <c r="F19" i="6"/>
  <c r="W18" i="6"/>
  <c r="N18" i="6"/>
  <c r="V56" i="6"/>
  <c r="AK15" i="6" s="1"/>
  <c r="N52" i="6"/>
  <c r="F53" i="6"/>
  <c r="W52" i="6"/>
  <c r="W49" i="6"/>
  <c r="N49" i="6"/>
  <c r="F50" i="6"/>
  <c r="W23" i="6"/>
  <c r="F24" i="6"/>
  <c r="N23" i="6"/>
  <c r="F43" i="6"/>
  <c r="W42" i="6"/>
  <c r="N42" i="6"/>
  <c r="W32" i="6"/>
  <c r="F33" i="6"/>
  <c r="N32" i="6"/>
  <c r="W41" i="6"/>
  <c r="N41" i="6"/>
  <c r="F42" i="6"/>
  <c r="F37" i="6"/>
  <c r="W36" i="6"/>
  <c r="N36" i="6"/>
  <c r="F49" i="6"/>
  <c r="W48" i="6"/>
  <c r="N48" i="6"/>
  <c r="AJ14" i="6"/>
  <c r="AJ16" i="6" s="1"/>
  <c r="W24" i="6"/>
  <c r="F25" i="6"/>
  <c r="N24" i="6"/>
  <c r="N55" i="6"/>
  <c r="W55" i="6"/>
  <c r="N16" i="6"/>
  <c r="E56" i="6"/>
  <c r="F17" i="6"/>
  <c r="W16" i="6"/>
  <c r="N45" i="6"/>
  <c r="W45" i="6"/>
  <c r="F46" i="6"/>
  <c r="N21" i="6"/>
  <c r="W21" i="6"/>
  <c r="F22" i="6"/>
  <c r="F48" i="6"/>
  <c r="N47" i="6"/>
  <c r="W47" i="6"/>
  <c r="F27" i="6"/>
  <c r="W26" i="6"/>
  <c r="N26" i="6"/>
  <c r="W37" i="6"/>
  <c r="N37" i="6"/>
  <c r="F38" i="6"/>
  <c r="N19" i="6"/>
  <c r="F20" i="6"/>
  <c r="W19" i="6"/>
  <c r="W20" i="6"/>
  <c r="F21" i="6"/>
  <c r="N20" i="6"/>
  <c r="N39" i="6"/>
  <c r="F40" i="6"/>
  <c r="W39" i="6"/>
  <c r="M56" i="6"/>
  <c r="F31" i="6"/>
  <c r="W30" i="6"/>
  <c r="N30" i="6"/>
  <c r="N51" i="6"/>
  <c r="W51" i="6"/>
  <c r="F52" i="6"/>
  <c r="I42" i="9" l="1"/>
  <c r="I44" i="9" s="1"/>
  <c r="G7" i="10" s="1"/>
  <c r="G8" i="10" s="1"/>
  <c r="I86" i="9"/>
  <c r="K34" i="9"/>
  <c r="K38" i="9" s="1"/>
  <c r="I6" i="10" s="1"/>
  <c r="G32" i="6"/>
  <c r="O31" i="6"/>
  <c r="X31" i="6"/>
  <c r="G28" i="6"/>
  <c r="X27" i="6"/>
  <c r="O27" i="6"/>
  <c r="O22" i="6"/>
  <c r="G23" i="6"/>
  <c r="X22" i="6"/>
  <c r="G20" i="6"/>
  <c r="O19" i="6"/>
  <c r="X19" i="6"/>
  <c r="O55" i="6"/>
  <c r="X55" i="6"/>
  <c r="X41" i="6"/>
  <c r="G42" i="6"/>
  <c r="O41" i="6"/>
  <c r="X47" i="6"/>
  <c r="O47" i="6"/>
  <c r="G48" i="6"/>
  <c r="X54" i="6"/>
  <c r="G55" i="6"/>
  <c r="O54" i="6"/>
  <c r="N56" i="6"/>
  <c r="O25" i="6"/>
  <c r="G26" i="6"/>
  <c r="X25" i="6"/>
  <c r="G25" i="6"/>
  <c r="O24" i="6"/>
  <c r="X24" i="6"/>
  <c r="G33" i="6"/>
  <c r="O32" i="6"/>
  <c r="X32" i="6"/>
  <c r="O39" i="6"/>
  <c r="X39" i="6"/>
  <c r="G40" i="6"/>
  <c r="O28" i="6"/>
  <c r="X28" i="6"/>
  <c r="G29" i="6"/>
  <c r="G24" i="6"/>
  <c r="O23" i="6"/>
  <c r="X23" i="6"/>
  <c r="O29" i="6"/>
  <c r="G30" i="6"/>
  <c r="X29" i="6"/>
  <c r="X35" i="6"/>
  <c r="O35" i="6"/>
  <c r="G36" i="6"/>
  <c r="X44" i="6"/>
  <c r="O44" i="6"/>
  <c r="G45" i="6"/>
  <c r="G19" i="6"/>
  <c r="X18" i="6"/>
  <c r="O18" i="6"/>
  <c r="AK14" i="6"/>
  <c r="AK16" i="6" s="1"/>
  <c r="I48" i="9" s="1"/>
  <c r="X52" i="6"/>
  <c r="O52" i="6"/>
  <c r="G53" i="6"/>
  <c r="G22" i="6"/>
  <c r="X21" i="6"/>
  <c r="O21" i="6"/>
  <c r="W56" i="6"/>
  <c r="AL15" i="6" s="1"/>
  <c r="O37" i="6"/>
  <c r="G38" i="6"/>
  <c r="X37" i="6"/>
  <c r="G35" i="6"/>
  <c r="O34" i="6"/>
  <c r="X34" i="6"/>
  <c r="G52" i="6"/>
  <c r="O51" i="6"/>
  <c r="X51" i="6"/>
  <c r="O36" i="6"/>
  <c r="X36" i="6"/>
  <c r="G37" i="6"/>
  <c r="G21" i="6"/>
  <c r="O20" i="6"/>
  <c r="X20" i="6"/>
  <c r="G41" i="6"/>
  <c r="O40" i="6"/>
  <c r="X40" i="6"/>
  <c r="X38" i="6"/>
  <c r="O38" i="6"/>
  <c r="G39" i="6"/>
  <c r="O48" i="6"/>
  <c r="X48" i="6"/>
  <c r="G49" i="6"/>
  <c r="X46" i="6"/>
  <c r="O46" i="6"/>
  <c r="G47" i="6"/>
  <c r="X17" i="6"/>
  <c r="O17" i="6"/>
  <c r="G18" i="6"/>
  <c r="F56" i="6"/>
  <c r="G50" i="6"/>
  <c r="O49" i="6"/>
  <c r="X49" i="6"/>
  <c r="O42" i="6"/>
  <c r="G43" i="6"/>
  <c r="X42" i="6"/>
  <c r="O33" i="6"/>
  <c r="G34" i="6"/>
  <c r="X33" i="6"/>
  <c r="X43" i="6"/>
  <c r="O43" i="6"/>
  <c r="G44" i="6"/>
  <c r="X50" i="6"/>
  <c r="O50" i="6"/>
  <c r="G51" i="6"/>
  <c r="O53" i="6"/>
  <c r="G54" i="6"/>
  <c r="X53" i="6"/>
  <c r="G27" i="6"/>
  <c r="X26" i="6"/>
  <c r="O26" i="6"/>
  <c r="O45" i="6"/>
  <c r="X45" i="6"/>
  <c r="G46" i="6"/>
  <c r="O30" i="6"/>
  <c r="G31" i="6"/>
  <c r="X30" i="6"/>
  <c r="X56" i="2"/>
  <c r="AM15" i="2" s="1"/>
  <c r="AM16" i="2" s="1"/>
  <c r="W56" i="2"/>
  <c r="AL15" i="2" s="1"/>
  <c r="AL16" i="2" s="1"/>
  <c r="V56" i="2"/>
  <c r="U56" i="2"/>
  <c r="I60" i="9" l="1"/>
  <c r="I116" i="9" s="1"/>
  <c r="J42" i="9"/>
  <c r="J128" i="9" s="1"/>
  <c r="I128" i="9" s="1"/>
  <c r="I130" i="9" s="1"/>
  <c r="H60" i="10" s="1"/>
  <c r="J86" i="9"/>
  <c r="K47" i="9"/>
  <c r="K59" i="9" s="1"/>
  <c r="L34" i="9"/>
  <c r="L38" i="9" s="1"/>
  <c r="J6" i="10" s="1"/>
  <c r="J40" i="9"/>
  <c r="O56" i="6"/>
  <c r="P39" i="6"/>
  <c r="H40" i="6"/>
  <c r="Y39" i="6"/>
  <c r="Y21" i="6"/>
  <c r="H22" i="6"/>
  <c r="P21" i="6"/>
  <c r="H23" i="6"/>
  <c r="Y22" i="6"/>
  <c r="P22" i="6"/>
  <c r="P19" i="6"/>
  <c r="H20" i="6"/>
  <c r="Y19" i="6"/>
  <c r="H37" i="6"/>
  <c r="P36" i="6"/>
  <c r="Y36" i="6"/>
  <c r="P30" i="6"/>
  <c r="H31" i="6"/>
  <c r="Y30" i="6"/>
  <c r="H25" i="6"/>
  <c r="P24" i="6"/>
  <c r="Y24" i="6"/>
  <c r="P40" i="6"/>
  <c r="H41" i="6"/>
  <c r="Y40" i="6"/>
  <c r="Y25" i="6"/>
  <c r="H26" i="6"/>
  <c r="P25" i="6"/>
  <c r="AL14" i="6"/>
  <c r="AL16" i="6" s="1"/>
  <c r="J48" i="9" s="1"/>
  <c r="H49" i="6"/>
  <c r="P48" i="6"/>
  <c r="Y48" i="6"/>
  <c r="P42" i="6"/>
  <c r="H43" i="6"/>
  <c r="Y42" i="6"/>
  <c r="P23" i="6"/>
  <c r="H24" i="6"/>
  <c r="Y23" i="6"/>
  <c r="H29" i="6"/>
  <c r="Y28" i="6"/>
  <c r="P28" i="6"/>
  <c r="Y54" i="6"/>
  <c r="P54" i="6"/>
  <c r="H55" i="6"/>
  <c r="H44" i="6"/>
  <c r="Y43" i="6"/>
  <c r="P43" i="6"/>
  <c r="Y50" i="6"/>
  <c r="P50" i="6"/>
  <c r="H51" i="6"/>
  <c r="P49" i="6"/>
  <c r="Y49" i="6"/>
  <c r="H50" i="6"/>
  <c r="Y41" i="6"/>
  <c r="H42" i="6"/>
  <c r="P41" i="6"/>
  <c r="Y37" i="6"/>
  <c r="H38" i="6"/>
  <c r="P37" i="6"/>
  <c r="P35" i="6"/>
  <c r="H36" i="6"/>
  <c r="Y35" i="6"/>
  <c r="P53" i="6"/>
  <c r="Y53" i="6"/>
  <c r="H54" i="6"/>
  <c r="H46" i="6"/>
  <c r="P45" i="6"/>
  <c r="Y45" i="6"/>
  <c r="Y29" i="6"/>
  <c r="H30" i="6"/>
  <c r="P29" i="6"/>
  <c r="H34" i="6"/>
  <c r="P33" i="6"/>
  <c r="Y33" i="6"/>
  <c r="Y46" i="6"/>
  <c r="H47" i="6"/>
  <c r="P46" i="6"/>
  <c r="P44" i="6"/>
  <c r="Y44" i="6"/>
  <c r="H45" i="6"/>
  <c r="P34" i="6"/>
  <c r="H35" i="6"/>
  <c r="Y34" i="6"/>
  <c r="P47" i="6"/>
  <c r="H48" i="6"/>
  <c r="Y47" i="6"/>
  <c r="H53" i="6"/>
  <c r="P52" i="6"/>
  <c r="Y52" i="6"/>
  <c r="H27" i="6"/>
  <c r="Y26" i="6"/>
  <c r="P26" i="6"/>
  <c r="P55" i="6"/>
  <c r="Y55" i="6"/>
  <c r="H21" i="6"/>
  <c r="P20" i="6"/>
  <c r="Y20" i="6"/>
  <c r="H32" i="6"/>
  <c r="Y31" i="6"/>
  <c r="P31" i="6"/>
  <c r="X56" i="6"/>
  <c r="AM15" i="6" s="1"/>
  <c r="H28" i="6"/>
  <c r="Y27" i="6"/>
  <c r="P27" i="6"/>
  <c r="P51" i="6"/>
  <c r="H52" i="6"/>
  <c r="Y51" i="6"/>
  <c r="P18" i="6"/>
  <c r="H19" i="6"/>
  <c r="G56" i="6"/>
  <c r="Y18" i="6"/>
  <c r="H39" i="6"/>
  <c r="P38" i="6"/>
  <c r="Y38" i="6"/>
  <c r="H33" i="6"/>
  <c r="Y32" i="6"/>
  <c r="P32" i="6"/>
  <c r="AJ15" i="2"/>
  <c r="AJ16" i="2" s="1"/>
  <c r="H50" i="9" s="1"/>
  <c r="AK15" i="2"/>
  <c r="AK16" i="2" s="1"/>
  <c r="J47" i="9" s="1"/>
  <c r="J59" i="9" s="1"/>
  <c r="F10" i="10" l="1"/>
  <c r="F11" i="10" s="1"/>
  <c r="F26" i="10" s="1"/>
  <c r="J60" i="9"/>
  <c r="J44" i="9"/>
  <c r="K42" i="9"/>
  <c r="K128" i="9" s="1"/>
  <c r="K86" i="9"/>
  <c r="J126" i="9"/>
  <c r="J130" i="9" s="1"/>
  <c r="I47" i="9"/>
  <c r="I59" i="9" s="1"/>
  <c r="M34" i="9"/>
  <c r="M38" i="9" s="1"/>
  <c r="K6" i="10" s="1"/>
  <c r="I46" i="9"/>
  <c r="H62" i="9"/>
  <c r="H106" i="9" s="1"/>
  <c r="Z28" i="6"/>
  <c r="Q28" i="6"/>
  <c r="Z19" i="6"/>
  <c r="H56" i="6"/>
  <c r="Q19" i="6"/>
  <c r="Z55" i="6"/>
  <c r="Q55" i="6"/>
  <c r="Z39" i="6"/>
  <c r="Q39" i="6"/>
  <c r="P56" i="6"/>
  <c r="L86" i="9" s="1"/>
  <c r="Q45" i="6"/>
  <c r="Z45" i="6"/>
  <c r="Z47" i="6"/>
  <c r="Q47" i="6"/>
  <c r="Z30" i="6"/>
  <c r="Q30" i="6"/>
  <c r="Q46" i="6"/>
  <c r="Z46" i="6"/>
  <c r="Q42" i="6"/>
  <c r="Z42" i="6"/>
  <c r="Q29" i="6"/>
  <c r="Z29" i="6"/>
  <c r="Q41" i="6"/>
  <c r="Z41" i="6"/>
  <c r="Q25" i="6"/>
  <c r="Z25" i="6"/>
  <c r="Z20" i="6"/>
  <c r="Q20" i="6"/>
  <c r="Z23" i="6"/>
  <c r="Q23" i="6"/>
  <c r="Z52" i="6"/>
  <c r="Q52" i="6"/>
  <c r="Z48" i="6"/>
  <c r="Q48" i="6"/>
  <c r="Q33" i="6"/>
  <c r="Z33" i="6"/>
  <c r="Y56" i="6"/>
  <c r="AN15" i="6" s="1"/>
  <c r="Q21" i="6"/>
  <c r="Z21" i="6"/>
  <c r="Z53" i="6"/>
  <c r="Q53" i="6"/>
  <c r="Z38" i="6"/>
  <c r="Q38" i="6"/>
  <c r="Q51" i="6"/>
  <c r="Z51" i="6"/>
  <c r="Q43" i="6"/>
  <c r="Z43" i="6"/>
  <c r="Z49" i="6"/>
  <c r="Q49" i="6"/>
  <c r="Z26" i="6"/>
  <c r="Q26" i="6"/>
  <c r="Q40" i="6"/>
  <c r="Z40" i="6"/>
  <c r="Z32" i="6"/>
  <c r="Q32" i="6"/>
  <c r="Z27" i="6"/>
  <c r="Q27" i="6"/>
  <c r="Z35" i="6"/>
  <c r="Q35" i="6"/>
  <c r="Z34" i="6"/>
  <c r="Q34" i="6"/>
  <c r="Q54" i="6"/>
  <c r="Z54" i="6"/>
  <c r="Q36" i="6"/>
  <c r="Z36" i="6"/>
  <c r="Q50" i="6"/>
  <c r="Z50" i="6"/>
  <c r="Z44" i="6"/>
  <c r="Q44" i="6"/>
  <c r="Q24" i="6"/>
  <c r="Z24" i="6"/>
  <c r="Z31" i="6"/>
  <c r="Q31" i="6"/>
  <c r="Q37" i="6"/>
  <c r="Z37" i="6"/>
  <c r="Q22" i="6"/>
  <c r="Z22" i="6"/>
  <c r="AM14" i="6"/>
  <c r="AM16" i="6" s="1"/>
  <c r="F25" i="10" l="1"/>
  <c r="F46" i="10" s="1"/>
  <c r="F18" i="10"/>
  <c r="F17" i="10"/>
  <c r="F34" i="10" s="1"/>
  <c r="F40" i="10" s="1"/>
  <c r="F51" i="10"/>
  <c r="K40" i="9"/>
  <c r="H7" i="10"/>
  <c r="H8" i="10" s="1"/>
  <c r="K126" i="9"/>
  <c r="K130" i="9" s="1"/>
  <c r="J60" i="10" s="1"/>
  <c r="I60" i="10"/>
  <c r="K44" i="9"/>
  <c r="H67" i="9"/>
  <c r="I64" i="9" s="1"/>
  <c r="I50" i="9"/>
  <c r="K48" i="9"/>
  <c r="K60" i="9" s="1"/>
  <c r="AN14" i="6"/>
  <c r="AN16" i="6" s="1"/>
  <c r="L48" i="9" s="1"/>
  <c r="L42" i="9"/>
  <c r="L128" i="9" s="1"/>
  <c r="I58" i="9"/>
  <c r="Z56" i="6"/>
  <c r="AO15" i="6" s="1"/>
  <c r="Q56" i="6"/>
  <c r="M86" i="9" s="1"/>
  <c r="F53" i="10" l="1"/>
  <c r="L40" i="9"/>
  <c r="I7" i="10"/>
  <c r="I8" i="10" s="1"/>
  <c r="J46" i="9"/>
  <c r="J50" i="9" s="1"/>
  <c r="G10" i="10"/>
  <c r="G11" i="10" s="1"/>
  <c r="L126" i="9"/>
  <c r="I91" i="9"/>
  <c r="I139" i="9" s="1"/>
  <c r="I142" i="9" s="1"/>
  <c r="I88" i="9"/>
  <c r="G48" i="10" s="1"/>
  <c r="G7" i="7" s="1"/>
  <c r="AO14" i="6"/>
  <c r="M42" i="9"/>
  <c r="I103" i="9"/>
  <c r="K46" i="9"/>
  <c r="K50" i="9" s="1"/>
  <c r="I98" i="9"/>
  <c r="I115" i="9"/>
  <c r="I118" i="9" s="1"/>
  <c r="I62" i="9"/>
  <c r="I106" i="9" s="1"/>
  <c r="L60" i="9"/>
  <c r="AO16" i="6"/>
  <c r="M48" i="9" s="1"/>
  <c r="G51" i="10" l="1"/>
  <c r="G10" i="7" s="1"/>
  <c r="G62" i="10"/>
  <c r="G57" i="10"/>
  <c r="G58" i="10" s="1"/>
  <c r="I10" i="10"/>
  <c r="I11" i="10" s="1"/>
  <c r="I25" i="10" s="1"/>
  <c r="I46" i="10" s="1"/>
  <c r="H10" i="10"/>
  <c r="H11" i="10" s="1"/>
  <c r="H25" i="10" s="1"/>
  <c r="H46" i="10" s="1"/>
  <c r="G26" i="10"/>
  <c r="G17" i="10"/>
  <c r="G34" i="10" s="1"/>
  <c r="G25" i="10"/>
  <c r="G46" i="10" s="1"/>
  <c r="G18" i="10"/>
  <c r="I95" i="9"/>
  <c r="J88" i="9"/>
  <c r="I67" i="9"/>
  <c r="M60" i="9"/>
  <c r="M128" i="9"/>
  <c r="J114" i="9"/>
  <c r="J138" i="9"/>
  <c r="J58" i="9"/>
  <c r="J62" i="9" s="1"/>
  <c r="J106" i="9" s="1"/>
  <c r="L46" i="9"/>
  <c r="I145" i="9"/>
  <c r="I148" i="9" s="1"/>
  <c r="I101" i="9"/>
  <c r="H17" i="10" l="1"/>
  <c r="H34" i="10" s="1"/>
  <c r="H26" i="10"/>
  <c r="H18" i="10"/>
  <c r="G63" i="10"/>
  <c r="G64" i="10" s="1"/>
  <c r="G5" i="7" s="1"/>
  <c r="H51" i="10"/>
  <c r="H10" i="7" s="1"/>
  <c r="I26" i="10"/>
  <c r="I17" i="10"/>
  <c r="I34" i="10" s="1"/>
  <c r="I18" i="10"/>
  <c r="H48" i="10"/>
  <c r="H7" i="7" s="1"/>
  <c r="H30" i="7" s="1"/>
  <c r="G52" i="10"/>
  <c r="G39" i="10"/>
  <c r="G50" i="10"/>
  <c r="G38" i="10"/>
  <c r="J90" i="9"/>
  <c r="J92" i="9" s="1"/>
  <c r="K88" i="9"/>
  <c r="J67" i="9"/>
  <c r="J115" i="9"/>
  <c r="J118" i="9" s="1"/>
  <c r="I65" i="9"/>
  <c r="J64" i="9"/>
  <c r="J144" i="9"/>
  <c r="K58" i="9"/>
  <c r="K62" i="9" s="1"/>
  <c r="K106" i="9" s="1"/>
  <c r="J97" i="9"/>
  <c r="J103" i="9"/>
  <c r="I104" i="9"/>
  <c r="I51" i="10" l="1"/>
  <c r="H57" i="10"/>
  <c r="H58" i="10" s="1"/>
  <c r="I48" i="10"/>
  <c r="I7" i="7" s="1"/>
  <c r="I30" i="7" s="1"/>
  <c r="G9" i="7"/>
  <c r="G11" i="7" s="1"/>
  <c r="I10" i="7"/>
  <c r="G53" i="10"/>
  <c r="G40" i="10"/>
  <c r="G20" i="7"/>
  <c r="G22" i="7"/>
  <c r="G21" i="7"/>
  <c r="G24" i="7"/>
  <c r="J91" i="9"/>
  <c r="J139" i="9" s="1"/>
  <c r="J142" i="9" s="1"/>
  <c r="J65" i="9"/>
  <c r="K64" i="9"/>
  <c r="K67" i="9"/>
  <c r="K114" i="9"/>
  <c r="K115" i="9" s="1"/>
  <c r="K118" i="9" s="1"/>
  <c r="L58" i="9"/>
  <c r="J98" i="9"/>
  <c r="J145" i="9" s="1"/>
  <c r="J148" i="9" s="1"/>
  <c r="H33" i="7"/>
  <c r="K103" i="9"/>
  <c r="J104" i="9"/>
  <c r="G14" i="7" l="1"/>
  <c r="G15" i="7" s="1"/>
  <c r="G16" i="7" s="1"/>
  <c r="H63" i="10"/>
  <c r="I57" i="10"/>
  <c r="I58" i="10" s="1"/>
  <c r="H62" i="10"/>
  <c r="G23" i="7"/>
  <c r="J95" i="9"/>
  <c r="K138" i="9"/>
  <c r="K65" i="9"/>
  <c r="L64" i="9"/>
  <c r="L114" i="9"/>
  <c r="K144" i="9"/>
  <c r="J101" i="9"/>
  <c r="I33" i="7"/>
  <c r="K104" i="9"/>
  <c r="L103" i="9"/>
  <c r="H64" i="10" l="1"/>
  <c r="H5" i="7" s="1"/>
  <c r="K90" i="9"/>
  <c r="K91" i="9" s="1"/>
  <c r="K139" i="9" s="1"/>
  <c r="K142" i="9" s="1"/>
  <c r="L138" i="9" s="1"/>
  <c r="H52" i="10"/>
  <c r="H39" i="10"/>
  <c r="H50" i="10"/>
  <c r="H38" i="10"/>
  <c r="K97" i="9"/>
  <c r="H28" i="7" l="1"/>
  <c r="I62" i="10"/>
  <c r="K92" i="9"/>
  <c r="K95" i="9" s="1"/>
  <c r="I38" i="10" s="1"/>
  <c r="H9" i="7"/>
  <c r="H32" i="7" s="1"/>
  <c r="H40" i="10"/>
  <c r="H53" i="10"/>
  <c r="H20" i="7"/>
  <c r="H22" i="7"/>
  <c r="H21" i="7"/>
  <c r="H24" i="7"/>
  <c r="K98" i="9"/>
  <c r="K145" i="9" s="1"/>
  <c r="K148" i="9" s="1"/>
  <c r="H14" i="7" l="1"/>
  <c r="H15" i="7" s="1"/>
  <c r="I50" i="10"/>
  <c r="I9" i="7" s="1"/>
  <c r="I32" i="7" s="1"/>
  <c r="L90" i="9"/>
  <c r="L92" i="9" s="1"/>
  <c r="I63" i="10"/>
  <c r="I64" i="10" s="1"/>
  <c r="I5" i="7" s="1"/>
  <c r="H23" i="7"/>
  <c r="H11" i="7"/>
  <c r="L144" i="9"/>
  <c r="K101" i="9"/>
  <c r="H16" i="7" l="1"/>
  <c r="I14" i="7"/>
  <c r="I15" i="7" s="1"/>
  <c r="I11" i="7"/>
  <c r="I39" i="10"/>
  <c r="I40" i="10" s="1"/>
  <c r="I52" i="10"/>
  <c r="I53" i="10" s="1"/>
  <c r="I28" i="7"/>
  <c r="L97" i="9"/>
  <c r="G14" i="2"/>
  <c r="P14" i="2" s="1"/>
  <c r="P56" i="2" s="1"/>
  <c r="H14" i="2"/>
  <c r="Q14" i="2" s="1"/>
  <c r="I16" i="7" l="1"/>
  <c r="I20" i="7"/>
  <c r="I22" i="7"/>
  <c r="I21" i="7"/>
  <c r="I24" i="7"/>
  <c r="I23" i="7"/>
  <c r="L41" i="9"/>
  <c r="L85" i="9"/>
  <c r="L88" i="9" s="1"/>
  <c r="G56" i="2"/>
  <c r="H15" i="2"/>
  <c r="H56" i="2" s="1"/>
  <c r="Y14" i="2"/>
  <c r="Y56" i="2" s="1"/>
  <c r="AN15" i="2" s="1"/>
  <c r="Z14" i="2"/>
  <c r="AN14" i="2"/>
  <c r="J48" i="10" l="1"/>
  <c r="J7" i="7" s="1"/>
  <c r="J30" i="7" s="1"/>
  <c r="L127" i="9"/>
  <c r="L130" i="9" s="1"/>
  <c r="K60" i="10" s="1"/>
  <c r="J36" i="10"/>
  <c r="L44" i="9"/>
  <c r="J7" i="10" s="1"/>
  <c r="J8" i="10" s="1"/>
  <c r="AN16" i="2"/>
  <c r="Z15" i="2"/>
  <c r="Z56" i="2" s="1"/>
  <c r="AO15" i="2" s="1"/>
  <c r="Q15" i="2"/>
  <c r="Q56" i="2" s="1"/>
  <c r="M40" i="9" l="1"/>
  <c r="M126" i="9"/>
  <c r="M41" i="9"/>
  <c r="M85" i="9"/>
  <c r="M88" i="9" s="1"/>
  <c r="K48" i="10" s="1"/>
  <c r="K7" i="7" s="1"/>
  <c r="L47" i="9"/>
  <c r="AO14" i="2"/>
  <c r="AO16" i="2" s="1"/>
  <c r="M127" i="9" l="1"/>
  <c r="M130" i="9" s="1"/>
  <c r="K36" i="10"/>
  <c r="K30" i="7"/>
  <c r="M7" i="7"/>
  <c r="M44" i="9"/>
  <c r="K7" i="10" s="1"/>
  <c r="K8" i="10" s="1"/>
  <c r="M47" i="9"/>
  <c r="M59" i="9" s="1"/>
  <c r="L50" i="9"/>
  <c r="L59" i="9"/>
  <c r="J10" i="10" l="1"/>
  <c r="J11" i="10" s="1"/>
  <c r="J17" i="10" s="1"/>
  <c r="J34" i="10" s="1"/>
  <c r="L115" i="9"/>
  <c r="L62" i="9"/>
  <c r="L106" i="9" s="1"/>
  <c r="L91" i="9"/>
  <c r="M46" i="9"/>
  <c r="M50" i="9" s="1"/>
  <c r="J18" i="10" l="1"/>
  <c r="J26" i="10"/>
  <c r="J51" i="10"/>
  <c r="J10" i="7" s="1"/>
  <c r="J25" i="10"/>
  <c r="J46" i="10" s="1"/>
  <c r="K10" i="10"/>
  <c r="K11" i="10" s="1"/>
  <c r="L98" i="9"/>
  <c r="L145" i="9" s="1"/>
  <c r="L148" i="9" s="1"/>
  <c r="L67" i="9"/>
  <c r="L139" i="9"/>
  <c r="L142" i="9" s="1"/>
  <c r="L95" i="9"/>
  <c r="L118" i="9"/>
  <c r="M58" i="9"/>
  <c r="J57" i="10" l="1"/>
  <c r="J58" i="10" s="1"/>
  <c r="J63" i="10"/>
  <c r="J62" i="10"/>
  <c r="K26" i="10"/>
  <c r="K17" i="10"/>
  <c r="K34" i="10" s="1"/>
  <c r="K25" i="10"/>
  <c r="K46" i="10" s="1"/>
  <c r="K18" i="10"/>
  <c r="J50" i="10"/>
  <c r="J38" i="10"/>
  <c r="M62" i="9"/>
  <c r="M106" i="9" s="1"/>
  <c r="L101" i="9"/>
  <c r="L65" i="9"/>
  <c r="M64" i="9"/>
  <c r="M144" i="9"/>
  <c r="M138" i="9"/>
  <c r="M114" i="9"/>
  <c r="M115" i="9" s="1"/>
  <c r="M90" i="9"/>
  <c r="J33" i="7"/>
  <c r="M103" i="9"/>
  <c r="L104" i="9"/>
  <c r="J64" i="10" l="1"/>
  <c r="J5" i="7" s="1"/>
  <c r="K51" i="10"/>
  <c r="K10" i="7" s="1"/>
  <c r="M118" i="9"/>
  <c r="K57" i="10" s="1"/>
  <c r="K58" i="10" s="1"/>
  <c r="J9" i="7"/>
  <c r="J32" i="7" s="1"/>
  <c r="M97" i="9"/>
  <c r="M98" i="9" s="1"/>
  <c r="M145" i="9" s="1"/>
  <c r="M148" i="9" s="1"/>
  <c r="J52" i="10"/>
  <c r="J53" i="10" s="1"/>
  <c r="J39" i="10"/>
  <c r="J40" i="10" s="1"/>
  <c r="M67" i="9"/>
  <c r="M65" i="9" s="1"/>
  <c r="M104" i="9"/>
  <c r="M91" i="9"/>
  <c r="M139" i="9" s="1"/>
  <c r="M142" i="9" s="1"/>
  <c r="M92" i="9"/>
  <c r="J28" i="7" l="1"/>
  <c r="J14" i="7"/>
  <c r="J15" i="7" s="1"/>
  <c r="J11" i="7"/>
  <c r="K63" i="10"/>
  <c r="K62" i="10"/>
  <c r="K33" i="7"/>
  <c r="M10" i="7"/>
  <c r="J20" i="7"/>
  <c r="J22" i="7"/>
  <c r="J21" i="7"/>
  <c r="J24" i="7"/>
  <c r="J23" i="7"/>
  <c r="M95" i="9"/>
  <c r="M101" i="9"/>
  <c r="J16" i="7" l="1"/>
  <c r="K64" i="10"/>
  <c r="K52" i="10"/>
  <c r="K39" i="10"/>
  <c r="K50" i="10"/>
  <c r="K38" i="10"/>
  <c r="K9" i="7" l="1"/>
  <c r="M9" i="7" s="1"/>
  <c r="K5" i="7"/>
  <c r="K40" i="10"/>
  <c r="K53" i="10"/>
  <c r="K32" i="7"/>
  <c r="K14" i="7" l="1"/>
  <c r="K15" i="7" s="1"/>
  <c r="K11" i="7"/>
  <c r="K28" i="7"/>
  <c r="M5" i="7"/>
  <c r="K20" i="7"/>
  <c r="M20" i="7" s="1"/>
  <c r="K22" i="7"/>
  <c r="M22" i="7" s="1"/>
  <c r="K21" i="7"/>
  <c r="M21" i="7" s="1"/>
  <c r="K24" i="7"/>
  <c r="M24" i="7" s="1"/>
  <c r="K23" i="7"/>
  <c r="M23" i="7" s="1"/>
  <c r="M14" i="7" l="1"/>
  <c r="M15" i="7"/>
  <c r="K16" i="7"/>
  <c r="M16" i="7" s="1"/>
  <c r="H12" i="7"/>
  <c r="H17" i="7" s="1"/>
  <c r="I12" i="7"/>
  <c r="I17" i="7" s="1"/>
  <c r="J12" i="7"/>
  <c r="J17" i="7" s="1"/>
  <c r="K12" i="7"/>
  <c r="K17" i="7" s="1"/>
  <c r="I34" i="7"/>
  <c r="J34" i="7"/>
  <c r="K34" i="7"/>
  <c r="H25" i="7"/>
  <c r="I25" i="7"/>
  <c r="J25" i="7"/>
  <c r="K25" i="7"/>
  <c r="I35" i="7" l="1"/>
  <c r="J35" i="7"/>
  <c r="K35" i="7"/>
  <c r="M11" i="7"/>
  <c r="G12" i="7"/>
  <c r="H34" i="7"/>
  <c r="G25" i="7"/>
  <c r="M25" i="7" s="1"/>
  <c r="H35" i="7" l="1"/>
  <c r="G17" i="7"/>
  <c r="M17" i="7" s="1"/>
  <c r="M12" i="7"/>
</calcChain>
</file>

<file path=xl/comments1.xml><?xml version="1.0" encoding="utf-8"?>
<comments xmlns="http://schemas.openxmlformats.org/spreadsheetml/2006/main">
  <authors>
    <author>Conklin, Michael B</author>
  </authors>
  <commentList>
    <comment ref="H56" authorId="0" shapeId="0">
      <text>
        <r>
          <rPr>
            <sz val="9"/>
            <color indexed="81"/>
            <rFont val="Tahoma"/>
            <family val="2"/>
          </rPr>
          <t>Working Cash Allowance
+ Material &amp; Supplies
+ Prepayments
+ Other invested capital
+ Reconciling adjustment</t>
        </r>
      </text>
    </comment>
  </commentList>
</comments>
</file>

<file path=xl/comments2.xml><?xml version="1.0" encoding="utf-8"?>
<comments xmlns="http://schemas.openxmlformats.org/spreadsheetml/2006/main">
  <authors>
    <author>Conklin, Michael B</author>
  </authors>
  <commentList>
    <comment ref="D9" authorId="0" shapeId="0">
      <text>
        <r>
          <rPr>
            <sz val="9"/>
            <color indexed="81"/>
            <rFont val="Tahoma"/>
            <family val="2"/>
          </rPr>
          <t>See Dec 6, 2017 presentation p18
http://s2.q4cdn.com/193488943/files/doc_presentations/2017/12/2017_1206_Wells_PPT_FINAL.pdf</t>
        </r>
      </text>
    </comment>
  </commentList>
</comments>
</file>

<file path=xl/sharedStrings.xml><?xml version="1.0" encoding="utf-8"?>
<sst xmlns="http://schemas.openxmlformats.org/spreadsheetml/2006/main" count="246" uniqueCount="120">
  <si>
    <t>Net Plant in Service</t>
  </si>
  <si>
    <t>Rate Base</t>
  </si>
  <si>
    <t>Gross plant in service</t>
  </si>
  <si>
    <t>Accumulated depreciation</t>
  </si>
  <si>
    <t>Accumulated deferred income tax</t>
  </si>
  <si>
    <t>Useful life (book)</t>
  </si>
  <si>
    <t>Useful life (tax)</t>
  </si>
  <si>
    <t>Tax rate</t>
  </si>
  <si>
    <t>RATE BASE</t>
  </si>
  <si>
    <t>Age/Year</t>
  </si>
  <si>
    <t>PLANT IN SERVICE</t>
  </si>
  <si>
    <t>Total</t>
  </si>
  <si>
    <t>BOOK DEPRECIATION</t>
  </si>
  <si>
    <t>TAX DEPRECIATION</t>
  </si>
  <si>
    <t>ACCUMULATED DEFERRED INCOME TAX</t>
  </si>
  <si>
    <t>ADIT</t>
  </si>
  <si>
    <t>Book</t>
  </si>
  <si>
    <t>Tax</t>
  </si>
  <si>
    <t>FORWARD CAPEX</t>
  </si>
  <si>
    <t>RETURN ON EQUITY</t>
  </si>
  <si>
    <t>DEPRECIATION</t>
  </si>
  <si>
    <t>BONUS</t>
  </si>
  <si>
    <t>BOOK</t>
  </si>
  <si>
    <t>TAX</t>
  </si>
  <si>
    <t>FACTOR</t>
  </si>
  <si>
    <t>First Year Fraction</t>
  </si>
  <si>
    <t>Allowances / exclusions (net)</t>
  </si>
  <si>
    <t>Operations &amp; maintenance</t>
  </si>
  <si>
    <t>Taxes other than income taxes</t>
  </si>
  <si>
    <t>Federal income tax</t>
  </si>
  <si>
    <t>Depreciation</t>
  </si>
  <si>
    <t>Amortization</t>
  </si>
  <si>
    <t>Other taxes</t>
  </si>
  <si>
    <t>Depreciation &amp; amortization</t>
  </si>
  <si>
    <t>Revenue Requirements</t>
  </si>
  <si>
    <t>Inflation</t>
  </si>
  <si>
    <t>Authorized returns to equity holders</t>
  </si>
  <si>
    <t>RETURN ON CAPITAL</t>
  </si>
  <si>
    <t>Authorized returns</t>
  </si>
  <si>
    <t>Effective returns</t>
  </si>
  <si>
    <t>Effective returns to equity holders</t>
  </si>
  <si>
    <t>Authorized Return on Capital</t>
  </si>
  <si>
    <t>Effective Return on Capital</t>
  </si>
  <si>
    <t>Effective Return on Equity</t>
  </si>
  <si>
    <t>Authorized Return on Equity</t>
  </si>
  <si>
    <t>Revenue</t>
  </si>
  <si>
    <t>Return on Capital</t>
  </si>
  <si>
    <t>Return on Equity</t>
  </si>
  <si>
    <t>Equity capitalization</t>
  </si>
  <si>
    <t>High Case Weight</t>
  </si>
  <si>
    <t>NOPAT</t>
  </si>
  <si>
    <t>Gross Plant (BOP)</t>
  </si>
  <si>
    <t>Gross Plant (EOP)</t>
  </si>
  <si>
    <t>Additions - Sharyland</t>
  </si>
  <si>
    <t>Additions - Oncor</t>
  </si>
  <si>
    <t>Accum. Depreciation (BOP)</t>
  </si>
  <si>
    <t>Accum. Depreciation (EOP)</t>
  </si>
  <si>
    <t>ADIT (BOP)</t>
  </si>
  <si>
    <t>ADIT (EOP)</t>
  </si>
  <si>
    <t>Net Allowances / Deductions (BOP)</t>
  </si>
  <si>
    <t>Net Allowances / Deductions (EOP)</t>
  </si>
  <si>
    <t>Oncor Increment</t>
  </si>
  <si>
    <t>Other</t>
  </si>
  <si>
    <t>Authorized return on capital</t>
  </si>
  <si>
    <t>Effective return on capital</t>
  </si>
  <si>
    <t>Authorized return on equity</t>
  </si>
  <si>
    <t>Effective return on equity</t>
  </si>
  <si>
    <t>Implied Cost of Debt</t>
  </si>
  <si>
    <t>Effective Cost of Debt</t>
  </si>
  <si>
    <t>Increase/(Decrease) - System size</t>
  </si>
  <si>
    <t>Increase/(Decrease) - Inflation</t>
  </si>
  <si>
    <t>Increase/(Decrease) - Oncor</t>
  </si>
  <si>
    <t>Operations &amp; Maintenance (Prior Yr)</t>
  </si>
  <si>
    <t>Operations &amp; Maintenance</t>
  </si>
  <si>
    <t>Amortization (Prior Yr)</t>
  </si>
  <si>
    <t>Other taxes (Prior Yr)</t>
  </si>
  <si>
    <t>Other Taxes</t>
  </si>
  <si>
    <t>Rate Base (BOP)</t>
  </si>
  <si>
    <t>Rate Base (EOP)</t>
  </si>
  <si>
    <t>Income taxes (Prior Yr)</t>
  </si>
  <si>
    <t>Income Taxes</t>
  </si>
  <si>
    <t>Increase/(Decrease) - Rate Base</t>
  </si>
  <si>
    <t>Implied interest expense (Prior Yr)</t>
  </si>
  <si>
    <t>Implied Interest Expense</t>
  </si>
  <si>
    <t>Authorized Equity Capitalization</t>
  </si>
  <si>
    <t>Effective Equity Capitalization</t>
  </si>
  <si>
    <t>Increase/(Decrease)</t>
  </si>
  <si>
    <t>Interest expense</t>
  </si>
  <si>
    <t>Rate adjustment</t>
  </si>
  <si>
    <t>x</t>
  </si>
  <si>
    <t>TCOS Lag</t>
  </si>
  <si>
    <t>Income taxes</t>
  </si>
  <si>
    <t>Rate Base EOP</t>
  </si>
  <si>
    <t>Rate base adjustment</t>
  </si>
  <si>
    <t>Depreciation (Prior Yr)</t>
  </si>
  <si>
    <t>Rate Case, filed beginning of year</t>
  </si>
  <si>
    <t>Depreciation - Transmission</t>
  </si>
  <si>
    <t>Depreciation - Oncor</t>
  </si>
  <si>
    <t>Net Income</t>
  </si>
  <si>
    <t>Rate Base Assumptions</t>
  </si>
  <si>
    <t>Actual Operating Cost Assumptions</t>
  </si>
  <si>
    <t>Tax Rate</t>
  </si>
  <si>
    <t>Transmission Book Life</t>
  </si>
  <si>
    <t>Transmission Tax Life</t>
  </si>
  <si>
    <t>Placed-in-service Convention</t>
  </si>
  <si>
    <t>CAGR</t>
  </si>
  <si>
    <t>Growth Metrics</t>
  </si>
  <si>
    <t>Common Size Metrics</t>
  </si>
  <si>
    <t>ROE</t>
  </si>
  <si>
    <t>Recognized Rate Base  &amp; Operating Cost Assumptions</t>
  </si>
  <si>
    <t>Capital Structure &amp; Return Assumptions</t>
  </si>
  <si>
    <t>EBITDA</t>
  </si>
  <si>
    <t>EBIT</t>
  </si>
  <si>
    <t>Income Statement</t>
  </si>
  <si>
    <t>Global Assumptions</t>
  </si>
  <si>
    <t>OPTIMAL REVENUE REQUIREMENTS</t>
  </si>
  <si>
    <t>(Return on capital style)</t>
  </si>
  <si>
    <t>(Return on equity style)</t>
  </si>
  <si>
    <t>LAGGED REVENUE REQUIREMENTS</t>
  </si>
  <si>
    <t>Base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</si>
</sst>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#,##0.000_);\(#,##0.000\)"/>
    <numFmt numFmtId="165" formatCode="#,##0.0_);\(#,##0.0\)"/>
    <numFmt numFmtId="166" formatCode="0.0%"/>
    <numFmt numFmtId="170" formatCode="0_);\(0\)"/>
    <numFmt numFmtId="172" formatCode="&quot;Beta = &quot;0.00"/>
    <numFmt numFmtId="173" formatCode="0_)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</font>
    <font>
      <i/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"/>
      <color rgb="FF00206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dotted">
        <color rgb="FF002060"/>
      </left>
      <right style="dotted">
        <color rgb="FF002060"/>
      </right>
      <top style="dotted">
        <color rgb="FF002060"/>
      </top>
      <bottom style="dotted">
        <color rgb="FF002060"/>
      </bottom>
      <diagonal/>
    </border>
    <border>
      <left/>
      <right style="thin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thick">
        <color rgb="FF002060"/>
      </bottom>
      <diagonal/>
    </border>
    <border>
      <left/>
      <right/>
      <top style="thin">
        <color rgb="FF002060"/>
      </top>
      <bottom style="thin">
        <color rgb="FF002060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4">
    <xf numFmtId="0" fontId="0" fillId="0" borderId="0" xfId="0"/>
    <xf numFmtId="0" fontId="1" fillId="0" borderId="0" xfId="0" applyFont="1"/>
    <xf numFmtId="37" fontId="0" fillId="0" borderId="0" xfId="0" applyNumberFormat="1"/>
    <xf numFmtId="37" fontId="1" fillId="0" borderId="1" xfId="0" applyNumberFormat="1" applyFont="1" applyBorder="1"/>
    <xf numFmtId="37" fontId="1" fillId="0" borderId="0" xfId="0" applyNumberFormat="1" applyFont="1" applyAlignment="1">
      <alignment horizontal="right"/>
    </xf>
    <xf numFmtId="0" fontId="0" fillId="0" borderId="0" xfId="0" applyFont="1"/>
    <xf numFmtId="37" fontId="0" fillId="0" borderId="3" xfId="0" applyNumberFormat="1" applyFont="1" applyBorder="1"/>
    <xf numFmtId="9" fontId="3" fillId="2" borderId="2" xfId="1" applyFont="1" applyFill="1" applyBorder="1"/>
    <xf numFmtId="37" fontId="3" fillId="2" borderId="2" xfId="0" applyNumberFormat="1" applyFont="1" applyFill="1" applyBorder="1"/>
    <xf numFmtId="37" fontId="4" fillId="0" borderId="0" xfId="0" applyNumberFormat="1" applyFont="1"/>
    <xf numFmtId="37" fontId="0" fillId="0" borderId="0" xfId="1" applyNumberFormat="1" applyFont="1" applyBorder="1"/>
    <xf numFmtId="164" fontId="0" fillId="0" borderId="0" xfId="0" applyNumberFormat="1"/>
    <xf numFmtId="2" fontId="0" fillId="0" borderId="0" xfId="0" applyNumberFormat="1"/>
    <xf numFmtId="0" fontId="1" fillId="0" borderId="0" xfId="0" applyFont="1" applyAlignment="1">
      <alignment horizontal="right"/>
    </xf>
    <xf numFmtId="37" fontId="7" fillId="0" borderId="0" xfId="0" applyNumberFormat="1" applyFont="1"/>
    <xf numFmtId="166" fontId="7" fillId="0" borderId="0" xfId="1" applyNumberFormat="1" applyFont="1" applyFill="1" applyBorder="1"/>
    <xf numFmtId="37" fontId="0" fillId="0" borderId="1" xfId="0" applyNumberFormat="1" applyFont="1" applyBorder="1"/>
    <xf numFmtId="10" fontId="7" fillId="0" borderId="0" xfId="1" applyNumberFormat="1" applyFont="1" applyFill="1" applyBorder="1"/>
    <xf numFmtId="166" fontId="0" fillId="0" borderId="0" xfId="1" applyNumberFormat="1" applyFont="1"/>
    <xf numFmtId="0" fontId="8" fillId="0" borderId="0" xfId="0" applyFont="1"/>
    <xf numFmtId="166" fontId="8" fillId="0" borderId="0" xfId="1" applyNumberFormat="1" applyFont="1"/>
    <xf numFmtId="0" fontId="0" fillId="0" borderId="0" xfId="0" applyAlignment="1">
      <alignment horizontal="left"/>
    </xf>
    <xf numFmtId="37" fontId="6" fillId="0" borderId="0" xfId="0" applyNumberFormat="1" applyFont="1"/>
    <xf numFmtId="37" fontId="9" fillId="0" borderId="1" xfId="0" applyNumberFormat="1" applyFont="1" applyBorder="1"/>
    <xf numFmtId="170" fontId="4" fillId="0" borderId="0" xfId="0" applyNumberFormat="1" applyFont="1"/>
    <xf numFmtId="37" fontId="3" fillId="0" borderId="1" xfId="1" applyNumberFormat="1" applyFont="1" applyFill="1" applyBorder="1"/>
    <xf numFmtId="37" fontId="3" fillId="0" borderId="0" xfId="0" applyNumberFormat="1" applyFont="1"/>
    <xf numFmtId="0" fontId="10" fillId="0" borderId="0" xfId="0" applyFont="1"/>
    <xf numFmtId="0" fontId="11" fillId="0" borderId="0" xfId="0" applyFont="1" applyAlignment="1">
      <alignment horizontal="center"/>
    </xf>
    <xf numFmtId="0" fontId="10" fillId="0" borderId="0" xfId="0" applyFont="1" applyAlignment="1">
      <alignment horizontal="left" indent="1"/>
    </xf>
    <xf numFmtId="0" fontId="12" fillId="0" borderId="0" xfId="0" applyFont="1" applyAlignment="1">
      <alignment horizontal="left" indent="1"/>
    </xf>
    <xf numFmtId="166" fontId="3" fillId="0" borderId="0" xfId="1" applyNumberFormat="1" applyFont="1" applyFill="1" applyBorder="1"/>
    <xf numFmtId="10" fontId="3" fillId="0" borderId="0" xfId="1" applyNumberFormat="1" applyFont="1" applyFill="1" applyBorder="1"/>
    <xf numFmtId="37" fontId="1" fillId="0" borderId="0" xfId="1" applyNumberFormat="1" applyFont="1" applyBorder="1"/>
    <xf numFmtId="37" fontId="1" fillId="0" borderId="0" xfId="0" applyNumberFormat="1" applyFont="1" applyBorder="1"/>
    <xf numFmtId="165" fontId="0" fillId="0" borderId="0" xfId="0" applyNumberFormat="1"/>
    <xf numFmtId="165" fontId="3" fillId="0" borderId="0" xfId="0" applyNumberFormat="1" applyFont="1"/>
    <xf numFmtId="39" fontId="3" fillId="0" borderId="0" xfId="0" applyNumberFormat="1" applyFont="1"/>
    <xf numFmtId="0" fontId="13" fillId="0" borderId="0" xfId="0" applyFont="1" applyAlignment="1">
      <alignment horizontal="left" indent="1"/>
    </xf>
    <xf numFmtId="172" fontId="0" fillId="0" borderId="0" xfId="0" applyNumberFormat="1"/>
    <xf numFmtId="172" fontId="3" fillId="0" borderId="0" xfId="0" applyNumberFormat="1" applyFont="1"/>
    <xf numFmtId="165" fontId="7" fillId="0" borderId="0" xfId="0" applyNumberFormat="1" applyFont="1"/>
    <xf numFmtId="165" fontId="6" fillId="0" borderId="0" xfId="0" applyNumberFormat="1" applyFont="1"/>
    <xf numFmtId="37" fontId="7" fillId="0" borderId="1" xfId="1" applyNumberFormat="1" applyFont="1" applyFill="1" applyBorder="1"/>
    <xf numFmtId="173" fontId="0" fillId="0" borderId="4" xfId="0" applyNumberFormat="1" applyBorder="1" applyAlignment="1">
      <alignment horizontal="right"/>
    </xf>
    <xf numFmtId="10" fontId="3" fillId="0" borderId="0" xfId="0" applyNumberFormat="1" applyFont="1"/>
    <xf numFmtId="0" fontId="3" fillId="0" borderId="0" xfId="0" applyFont="1"/>
    <xf numFmtId="9" fontId="3" fillId="0" borderId="0" xfId="0" applyNumberFormat="1" applyFont="1"/>
    <xf numFmtId="9" fontId="3" fillId="0" borderId="0" xfId="1" applyFont="1"/>
    <xf numFmtId="37" fontId="7" fillId="0" borderId="0" xfId="0" applyNumberFormat="1" applyFont="1" applyFill="1" applyBorder="1"/>
    <xf numFmtId="165" fontId="7" fillId="0" borderId="0" xfId="0" applyNumberFormat="1" applyFont="1" applyFill="1" applyBorder="1"/>
    <xf numFmtId="9" fontId="8" fillId="0" borderId="0" xfId="1" applyFont="1"/>
    <xf numFmtId="166" fontId="14" fillId="0" borderId="1" xfId="1" applyNumberFormat="1" applyFont="1" applyBorder="1"/>
    <xf numFmtId="0" fontId="14" fillId="0" borderId="0" xfId="0" applyFont="1"/>
    <xf numFmtId="37" fontId="8" fillId="0" borderId="0" xfId="0" applyNumberFormat="1" applyFont="1"/>
    <xf numFmtId="0" fontId="15" fillId="0" borderId="5" xfId="0" applyFont="1" applyFill="1" applyBorder="1"/>
    <xf numFmtId="0" fontId="16" fillId="0" borderId="5" xfId="0" applyFont="1" applyFill="1" applyBorder="1"/>
    <xf numFmtId="0" fontId="0" fillId="0" borderId="6" xfId="0" applyFill="1" applyBorder="1"/>
    <xf numFmtId="166" fontId="3" fillId="0" borderId="6" xfId="1" applyNumberFormat="1" applyFont="1" applyFill="1" applyBorder="1"/>
    <xf numFmtId="166" fontId="7" fillId="0" borderId="6" xfId="1" applyNumberFormat="1" applyFont="1" applyFill="1" applyBorder="1"/>
    <xf numFmtId="0" fontId="11" fillId="0" borderId="6" xfId="0" applyFont="1" applyFill="1" applyBorder="1" applyAlignment="1">
      <alignment horizontal="center"/>
    </xf>
    <xf numFmtId="0" fontId="10" fillId="0" borderId="6" xfId="0" applyFont="1" applyFill="1" applyBorder="1" applyAlignment="1">
      <alignment horizontal="left" indent="1"/>
    </xf>
    <xf numFmtId="0" fontId="17" fillId="0" borderId="6" xfId="0" applyFont="1" applyFill="1" applyBorder="1"/>
    <xf numFmtId="0" fontId="1" fillId="0" borderId="0" xfId="0" applyFont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00FF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2060"/>
  </sheetPr>
  <dimension ref="B2:R36"/>
  <sheetViews>
    <sheetView showGridLines="0" tabSelected="1" workbookViewId="0">
      <selection activeCell="R22" sqref="R22"/>
    </sheetView>
  </sheetViews>
  <sheetFormatPr defaultRowHeight="15" x14ac:dyDescent="0.25"/>
  <sheetData>
    <row r="2" spans="2:18" ht="16.5" thickBot="1" x14ac:dyDescent="0.3">
      <c r="B2" s="55" t="s">
        <v>113</v>
      </c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</row>
    <row r="3" spans="2:18" ht="15.75" thickTop="1" x14ac:dyDescent="0.25"/>
    <row r="4" spans="2:18" x14ac:dyDescent="0.25">
      <c r="B4" s="1"/>
      <c r="G4" s="24">
        <f>Assumptions!$H$4+1</f>
        <v>2017</v>
      </c>
      <c r="H4" s="24">
        <f t="shared" ref="H4:K4" si="0">G4+1</f>
        <v>2018</v>
      </c>
      <c r="I4" s="24">
        <f t="shared" si="0"/>
        <v>2019</v>
      </c>
      <c r="J4" s="24">
        <f t="shared" si="0"/>
        <v>2020</v>
      </c>
      <c r="K4" s="24">
        <f t="shared" si="0"/>
        <v>2021</v>
      </c>
      <c r="M4" s="13" t="s">
        <v>105</v>
      </c>
    </row>
    <row r="5" spans="2:18" x14ac:dyDescent="0.25">
      <c r="B5" t="s">
        <v>45</v>
      </c>
      <c r="G5" s="2">
        <f>'Rate Base &amp; Revenue Req'!G64</f>
        <v>241.12482740806081</v>
      </c>
      <c r="H5" s="2">
        <f>'Rate Base &amp; Revenue Req'!H64</f>
        <v>261.2829932933958</v>
      </c>
      <c r="I5" s="2">
        <f>'Rate Base &amp; Revenue Req'!I64</f>
        <v>260.30575559387171</v>
      </c>
      <c r="J5" s="2">
        <f>'Rate Base &amp; Revenue Req'!J64</f>
        <v>257.27953036907502</v>
      </c>
      <c r="K5" s="2">
        <f>'Rate Base &amp; Revenue Req'!K64</f>
        <v>253.93855371313609</v>
      </c>
      <c r="M5" s="20">
        <f>(K5/G5)^0.25-1</f>
        <v>1.3028533249526575E-2</v>
      </c>
    </row>
    <row r="6" spans="2:18" x14ac:dyDescent="0.25">
      <c r="B6" t="s">
        <v>27</v>
      </c>
      <c r="G6" s="2">
        <f>-'Rate Base &amp; Revenue Req'!G47</f>
        <v>-26.412052185417053</v>
      </c>
      <c r="H6" s="2">
        <f>-'Rate Base &amp; Revenue Req'!H47</f>
        <v>-26.940293229125395</v>
      </c>
      <c r="I6" s="2">
        <f>-'Rate Base &amp; Revenue Req'!I47</f>
        <v>-27.479099093707902</v>
      </c>
      <c r="J6" s="2">
        <f>-'Rate Base &amp; Revenue Req'!J47</f>
        <v>-28.02868107558206</v>
      </c>
      <c r="K6" s="2">
        <f>-'Rate Base &amp; Revenue Req'!K47</f>
        <v>-28.5892546970937</v>
      </c>
      <c r="M6" s="20">
        <f>(K6/G6)^0.25-1</f>
        <v>2.0000000000000018E-2</v>
      </c>
    </row>
    <row r="7" spans="2:18" x14ac:dyDescent="0.25">
      <c r="B7" t="s">
        <v>33</v>
      </c>
      <c r="G7" s="2">
        <f>-'Rate Base &amp; Revenue Req'!G48</f>
        <v>-50.843922740412651</v>
      </c>
      <c r="H7" s="2">
        <f>-'Rate Base &amp; Revenue Req'!H48</f>
        <v>-53.353472509061419</v>
      </c>
      <c r="I7" s="2">
        <f>-'Rate Base &amp; Revenue Req'!I48</f>
        <v>-54.681403912442619</v>
      </c>
      <c r="J7" s="2">
        <f>-'Rate Base &amp; Revenue Req'!J48</f>
        <v>-55.484492953242977</v>
      </c>
      <c r="K7" s="2">
        <f>-'Rate Base &amp; Revenue Req'!K48</f>
        <v>-56.211939933622688</v>
      </c>
      <c r="M7" s="20">
        <f>(K7/G7)^0.25-1</f>
        <v>2.5409604277222941E-2</v>
      </c>
    </row>
    <row r="8" spans="2:18" x14ac:dyDescent="0.25">
      <c r="B8" t="s">
        <v>31</v>
      </c>
      <c r="G8" s="2">
        <f>-'Rate Base &amp; Revenue Req'!G49</f>
        <v>-0.88537035109206719</v>
      </c>
      <c r="H8" s="2">
        <f>-'Rate Base &amp; Revenue Req'!H49</f>
        <v>-0.88537035109206719</v>
      </c>
      <c r="I8" s="2">
        <f>-'Rate Base &amp; Revenue Req'!I49</f>
        <v>-0.88537035109206719</v>
      </c>
      <c r="J8" s="2">
        <f>-'Rate Base &amp; Revenue Req'!J49</f>
        <v>-0.88537035109206719</v>
      </c>
      <c r="K8" s="2">
        <f>-'Rate Base &amp; Revenue Req'!K49</f>
        <v>-0.88537035109206719</v>
      </c>
      <c r="M8" s="20">
        <f>(K8/G8)^0.25-1</f>
        <v>0</v>
      </c>
    </row>
    <row r="9" spans="2:18" x14ac:dyDescent="0.25">
      <c r="B9" t="s">
        <v>28</v>
      </c>
      <c r="G9" s="2">
        <f>-'Rate Base &amp; Revenue Req'!G50</f>
        <v>-30.879908670787913</v>
      </c>
      <c r="H9" s="2">
        <f>-'Rate Base &amp; Revenue Req'!H50</f>
        <v>-31.332270178970596</v>
      </c>
      <c r="I9" s="2">
        <f>-'Rate Base &amp; Revenue Req'!I50</f>
        <v>-31.557468714080692</v>
      </c>
      <c r="J9" s="2">
        <f>-'Rate Base &amp; Revenue Req'!J50</f>
        <v>-31.811833689046338</v>
      </c>
      <c r="K9" s="2">
        <f>-'Rate Base &amp; Revenue Req'!K50</f>
        <v>-32.07907983068872</v>
      </c>
      <c r="M9" s="20">
        <f>(K9/G9)^0.25-1</f>
        <v>9.5700860420389056E-3</v>
      </c>
    </row>
    <row r="10" spans="2:18" x14ac:dyDescent="0.25">
      <c r="B10" t="s">
        <v>87</v>
      </c>
      <c r="G10" s="2">
        <f>-'Rate Base &amp; Revenue Req'!G51</f>
        <v>-40.822500412249724</v>
      </c>
      <c r="H10" s="2">
        <f>-'Rate Base &amp; Revenue Req'!H51</f>
        <v>-40.765194748933808</v>
      </c>
      <c r="I10" s="2">
        <f>-'Rate Base &amp; Revenue Req'!I51</f>
        <v>-39.491271188509636</v>
      </c>
      <c r="J10" s="2">
        <f>-'Rate Base &amp; Revenue Req'!J51</f>
        <v>-38.395052452299744</v>
      </c>
      <c r="K10" s="2">
        <f>-'Rate Base &amp; Revenue Req'!K51</f>
        <v>-37.381552155627048</v>
      </c>
      <c r="M10" s="20">
        <f>(K10/G10)^0.25-1</f>
        <v>-2.1773481061010069E-2</v>
      </c>
    </row>
    <row r="11" spans="2:18" x14ac:dyDescent="0.25">
      <c r="B11" t="s">
        <v>29</v>
      </c>
      <c r="G11" s="2">
        <f>-SUM(G5:G10)*Assumptions!$H$5</f>
        <v>-32.404780932075994</v>
      </c>
      <c r="H11" s="2">
        <f>-SUM(H5:H10)*Assumptions!$H$5</f>
        <v>-38.342269258055445</v>
      </c>
      <c r="I11" s="2">
        <f>-SUM(I5:I10)*Assumptions!$H$5</f>
        <v>-37.704955528583767</v>
      </c>
      <c r="J11" s="2">
        <f>-SUM(J5:J10)*Assumptions!$H$5</f>
        <v>-36.449305445973195</v>
      </c>
      <c r="K11" s="2">
        <f>-SUM(K5:K10)*Assumptions!$H$5</f>
        <v>-35.070931644479209</v>
      </c>
      <c r="M11" s="20">
        <f>(K11/G11)^0.25-1</f>
        <v>1.9963318489665927E-2</v>
      </c>
      <c r="N11" s="2"/>
      <c r="O11" s="2"/>
      <c r="P11" s="2"/>
      <c r="Q11" s="2"/>
      <c r="R11" s="2"/>
    </row>
    <row r="12" spans="2:18" x14ac:dyDescent="0.25">
      <c r="B12" s="1" t="s">
        <v>98</v>
      </c>
      <c r="C12" s="1"/>
      <c r="D12" s="1"/>
      <c r="E12" s="1"/>
      <c r="G12" s="3">
        <f>SUM(G5:G11)</f>
        <v>58.876292116025411</v>
      </c>
      <c r="H12" s="3">
        <f t="shared" ref="H12:K12" si="1">SUM(H5:H11)</f>
        <v>69.664123018157085</v>
      </c>
      <c r="I12" s="3">
        <f t="shared" si="1"/>
        <v>68.506186805455016</v>
      </c>
      <c r="J12" s="3">
        <f t="shared" si="1"/>
        <v>66.224794401838622</v>
      </c>
      <c r="K12" s="3">
        <f t="shared" si="1"/>
        <v>63.720425100532644</v>
      </c>
      <c r="M12" s="52">
        <f>(K12/G12)^0.25-1</f>
        <v>1.9963318489665927E-2</v>
      </c>
    </row>
    <row r="14" spans="2:18" x14ac:dyDescent="0.25">
      <c r="B14" s="19" t="s">
        <v>111</v>
      </c>
      <c r="C14" s="19"/>
      <c r="D14" s="19"/>
      <c r="E14" s="19"/>
      <c r="F14" s="19"/>
      <c r="G14" s="54">
        <f>G5+G6+G9</f>
        <v>183.83286655185583</v>
      </c>
      <c r="H14" s="54">
        <f t="shared" ref="H14:K14" si="2">H5+H6+H9</f>
        <v>203.01042988529983</v>
      </c>
      <c r="I14" s="54">
        <f t="shared" si="2"/>
        <v>201.26918778608311</v>
      </c>
      <c r="J14" s="54">
        <f t="shared" si="2"/>
        <v>197.43901560444664</v>
      </c>
      <c r="K14" s="54">
        <f t="shared" si="2"/>
        <v>193.27021918535365</v>
      </c>
      <c r="M14" s="20">
        <f>(K14/G14)^0.25-1</f>
        <v>1.2594222122022769E-2</v>
      </c>
    </row>
    <row r="15" spans="2:18" x14ac:dyDescent="0.25">
      <c r="B15" s="19" t="s">
        <v>112</v>
      </c>
      <c r="C15" s="19"/>
      <c r="D15" s="19"/>
      <c r="E15" s="19"/>
      <c r="F15" s="19"/>
      <c r="G15" s="54">
        <f>G14+G7+G8</f>
        <v>132.1035734603511</v>
      </c>
      <c r="H15" s="54">
        <f t="shared" ref="H15:K15" si="3">H14+H7+H8</f>
        <v>148.77158702514635</v>
      </c>
      <c r="I15" s="54">
        <f t="shared" si="3"/>
        <v>145.70241352254843</v>
      </c>
      <c r="J15" s="54">
        <f t="shared" si="3"/>
        <v>141.0691523001116</v>
      </c>
      <c r="K15" s="54">
        <f t="shared" si="3"/>
        <v>136.1729089006389</v>
      </c>
      <c r="M15" s="20">
        <f>(K15/G15)^0.25-1</f>
        <v>7.6136386780010223E-3</v>
      </c>
    </row>
    <row r="16" spans="2:18" x14ac:dyDescent="0.25">
      <c r="B16" s="19" t="s">
        <v>50</v>
      </c>
      <c r="C16" s="19"/>
      <c r="D16" s="19"/>
      <c r="E16" s="19"/>
      <c r="F16" s="19"/>
      <c r="G16" s="54">
        <f>G15+G11</f>
        <v>99.698792528275106</v>
      </c>
      <c r="H16" s="54">
        <f t="shared" ref="H16:K16" si="4">H15+H11</f>
        <v>110.42931776709091</v>
      </c>
      <c r="I16" s="54">
        <f t="shared" si="4"/>
        <v>107.99745799396466</v>
      </c>
      <c r="J16" s="54">
        <f t="shared" si="4"/>
        <v>104.6198468541384</v>
      </c>
      <c r="K16" s="54">
        <f t="shared" si="4"/>
        <v>101.1019772561597</v>
      </c>
      <c r="M16" s="20">
        <f>(K16/G16)^0.25-1</f>
        <v>3.5001405913568373E-3</v>
      </c>
    </row>
    <row r="17" spans="2:13" x14ac:dyDescent="0.25">
      <c r="B17" s="19" t="s">
        <v>108</v>
      </c>
      <c r="C17" s="19"/>
      <c r="D17" s="19"/>
      <c r="E17" s="19"/>
      <c r="F17" s="19"/>
      <c r="G17" s="20">
        <f>G12/('Rate Base &amp; Revenue Req'!F11*Assumptions!H18)</f>
        <v>0.10322251567994357</v>
      </c>
      <c r="H17" s="20">
        <f>H12/('Rate Base &amp; Revenue Req'!G11*Assumptions!I18)</f>
        <v>9.7821110912763812E-2</v>
      </c>
      <c r="I17" s="20">
        <f>I12/('Rate Base &amp; Revenue Req'!H11*Assumptions!J18)</f>
        <v>9.6330383991654236E-2</v>
      </c>
      <c r="J17" s="20">
        <f>J12/('Rate Base &amp; Revenue Req'!I11*Assumptions!K18)</f>
        <v>9.6126365829107524E-2</v>
      </c>
      <c r="K17" s="20">
        <f>K12/('Rate Base &amp; Revenue Req'!J11*Assumptions!L18)</f>
        <v>9.5131954103852764E-2</v>
      </c>
      <c r="M17" s="20">
        <f>(K17/G17)^0.25-1</f>
        <v>-2.0198737752479712E-2</v>
      </c>
    </row>
    <row r="19" spans="2:13" x14ac:dyDescent="0.25">
      <c r="B19" s="53" t="s">
        <v>107</v>
      </c>
    </row>
    <row r="20" spans="2:13" x14ac:dyDescent="0.25">
      <c r="B20" s="19" t="s">
        <v>27</v>
      </c>
      <c r="C20" s="19"/>
      <c r="D20" s="19"/>
      <c r="E20" s="19"/>
      <c r="F20" s="19"/>
      <c r="G20" s="20">
        <f>-G6/G$5</f>
        <v>0.10953684226269807</v>
      </c>
      <c r="H20" s="20">
        <f>-H6/H$5</f>
        <v>0.1031077181470974</v>
      </c>
      <c r="I20" s="20">
        <f>-I6/I$5</f>
        <v>0.10556470036944059</v>
      </c>
      <c r="J20" s="20">
        <f>-J6/J$5</f>
        <v>0.10894252269262968</v>
      </c>
      <c r="K20" s="20">
        <f>-K6/K$5</f>
        <v>0.11258335640278476</v>
      </c>
      <c r="M20" s="20">
        <f t="shared" ref="M20:M25" si="5">(K20/G20)^0.25-1</f>
        <v>6.881806900453924E-3</v>
      </c>
    </row>
    <row r="21" spans="2:13" x14ac:dyDescent="0.25">
      <c r="B21" s="19" t="s">
        <v>33</v>
      </c>
      <c r="C21" s="19"/>
      <c r="D21" s="19"/>
      <c r="E21" s="19"/>
      <c r="F21" s="19"/>
      <c r="G21" s="20">
        <f>-G7/G$5</f>
        <v>0.21086141683107718</v>
      </c>
      <c r="H21" s="20">
        <f>-H7/H$5</f>
        <v>0.20419803002314266</v>
      </c>
      <c r="I21" s="20">
        <f>-I7/I$5</f>
        <v>0.21006605784682067</v>
      </c>
      <c r="J21" s="20">
        <f>-J7/J$5</f>
        <v>0.21565840420203211</v>
      </c>
      <c r="K21" s="20">
        <f>-K7/K$5</f>
        <v>0.22136040042632912</v>
      </c>
      <c r="M21" s="20">
        <f t="shared" si="5"/>
        <v>1.2221838399735008E-2</v>
      </c>
    </row>
    <row r="22" spans="2:13" x14ac:dyDescent="0.25">
      <c r="B22" s="19" t="s">
        <v>31</v>
      </c>
      <c r="C22" s="19"/>
      <c r="D22" s="19"/>
      <c r="E22" s="19"/>
      <c r="F22" s="19"/>
      <c r="G22" s="20">
        <f>-G8/G$5</f>
        <v>3.6718340479876656E-3</v>
      </c>
      <c r="H22" s="20">
        <f>-H8/H$5</f>
        <v>3.388549480133523E-3</v>
      </c>
      <c r="I22" s="20">
        <f>-I8/I$5</f>
        <v>3.4012707443680941E-3</v>
      </c>
      <c r="J22" s="20">
        <f>-J8/J$5</f>
        <v>3.4412778576747923E-3</v>
      </c>
      <c r="K22" s="20">
        <f>-K8/K$5</f>
        <v>3.4865534915672299E-3</v>
      </c>
      <c r="M22" s="20">
        <f t="shared" si="5"/>
        <v>-1.2860973627005889E-2</v>
      </c>
    </row>
    <row r="23" spans="2:13" x14ac:dyDescent="0.25">
      <c r="B23" s="19" t="s">
        <v>28</v>
      </c>
      <c r="C23" s="19"/>
      <c r="D23" s="19"/>
      <c r="E23" s="19"/>
      <c r="F23" s="19"/>
      <c r="G23" s="20">
        <f>-G9/G$5</f>
        <v>0.12806606852860145</v>
      </c>
      <c r="H23" s="20">
        <f>-H9/H$5</f>
        <v>0.11991699032545702</v>
      </c>
      <c r="I23" s="20">
        <f>-I9/I$5</f>
        <v>0.12123231252449355</v>
      </c>
      <c r="J23" s="20">
        <f>-J9/J$5</f>
        <v>0.12364696734097474</v>
      </c>
      <c r="K23" s="20">
        <f>-K9/K$5</f>
        <v>0.12632615001394051</v>
      </c>
      <c r="M23" s="20">
        <f t="shared" si="5"/>
        <v>-3.413968209161844E-3</v>
      </c>
    </row>
    <row r="24" spans="2:13" x14ac:dyDescent="0.25">
      <c r="B24" s="19" t="s">
        <v>87</v>
      </c>
      <c r="C24" s="19"/>
      <c r="D24" s="19"/>
      <c r="E24" s="19"/>
      <c r="F24" s="19"/>
      <c r="G24" s="20">
        <f>-G10/G$5</f>
        <v>0.1693002784120812</v>
      </c>
      <c r="H24" s="20">
        <f>-H10/H$5</f>
        <v>0.15601931926414511</v>
      </c>
      <c r="I24" s="20">
        <f>-I10/I$5</f>
        <v>0.15171109489458928</v>
      </c>
      <c r="J24" s="20">
        <f>-J10/J$5</f>
        <v>0.14923477354463807</v>
      </c>
      <c r="K24" s="20">
        <f>-K10/K$5</f>
        <v>0.14720707670823174</v>
      </c>
      <c r="M24" s="20">
        <f t="shared" si="5"/>
        <v>-3.4354426522322234E-2</v>
      </c>
    </row>
    <row r="25" spans="2:13" x14ac:dyDescent="0.25">
      <c r="B25" s="19" t="s">
        <v>29</v>
      </c>
      <c r="C25" s="19"/>
      <c r="D25" s="19"/>
      <c r="E25" s="19"/>
      <c r="F25" s="19"/>
      <c r="G25" s="20">
        <f>-G11/G$5</f>
        <v>0.13439006377073182</v>
      </c>
      <c r="H25" s="20">
        <f>-H11/H$5</f>
        <v>0.14674613442980863</v>
      </c>
      <c r="I25" s="20">
        <f>-I11/I$5</f>
        <v>0.14484872008520214</v>
      </c>
      <c r="J25" s="20">
        <f>-J11/J$5</f>
        <v>0.14167199929852795</v>
      </c>
      <c r="K25" s="20">
        <f>-K11/K$5</f>
        <v>0.13810794434978704</v>
      </c>
      <c r="M25" s="20">
        <f t="shared" si="5"/>
        <v>6.8455971500569479E-3</v>
      </c>
    </row>
    <row r="27" spans="2:13" x14ac:dyDescent="0.25">
      <c r="B27" s="53" t="s">
        <v>106</v>
      </c>
    </row>
    <row r="28" spans="2:13" s="19" customFormat="1" x14ac:dyDescent="0.25">
      <c r="B28" s="19" t="s">
        <v>45</v>
      </c>
      <c r="H28" s="51">
        <f>H5/G5-1</f>
        <v>8.3600540442154037E-2</v>
      </c>
      <c r="I28" s="51">
        <f t="shared" ref="I28:K28" si="6">I5/H5-1</f>
        <v>-3.7401504292579046E-3</v>
      </c>
      <c r="J28" s="51">
        <f t="shared" si="6"/>
        <v>-1.1625656212988944E-2</v>
      </c>
      <c r="K28" s="51">
        <f t="shared" si="6"/>
        <v>-1.2985784959830271E-2</v>
      </c>
    </row>
    <row r="29" spans="2:13" s="19" customFormat="1" x14ac:dyDescent="0.25">
      <c r="B29" s="19" t="s">
        <v>27</v>
      </c>
      <c r="H29" s="51">
        <f t="shared" ref="H29:K29" si="7">H6/G6-1</f>
        <v>2.0000000000000018E-2</v>
      </c>
      <c r="I29" s="51">
        <f t="shared" si="7"/>
        <v>2.0000000000000018E-2</v>
      </c>
      <c r="J29" s="51">
        <f t="shared" si="7"/>
        <v>2.0000000000000018E-2</v>
      </c>
      <c r="K29" s="51">
        <f t="shared" si="7"/>
        <v>2.0000000000000018E-2</v>
      </c>
    </row>
    <row r="30" spans="2:13" s="19" customFormat="1" x14ac:dyDescent="0.25">
      <c r="B30" s="19" t="s">
        <v>33</v>
      </c>
      <c r="H30" s="51">
        <f t="shared" ref="H30:K30" si="8">H7/G7-1</f>
        <v>4.9357910117625137E-2</v>
      </c>
      <c r="I30" s="51">
        <f t="shared" si="8"/>
        <v>2.4889315370347553E-2</v>
      </c>
      <c r="J30" s="51">
        <f t="shared" si="8"/>
        <v>1.4686693891149627E-2</v>
      </c>
      <c r="K30" s="51">
        <f t="shared" si="8"/>
        <v>1.3110816043551798E-2</v>
      </c>
    </row>
    <row r="31" spans="2:13" s="19" customFormat="1" x14ac:dyDescent="0.25">
      <c r="B31" s="19" t="s">
        <v>31</v>
      </c>
      <c r="H31" s="51">
        <f>H8/G8-1</f>
        <v>0</v>
      </c>
      <c r="I31" s="51">
        <f>I8/H8-1</f>
        <v>0</v>
      </c>
      <c r="J31" s="51">
        <f>J8/I8-1</f>
        <v>0</v>
      </c>
      <c r="K31" s="51">
        <f>K8/J8-1</f>
        <v>0</v>
      </c>
    </row>
    <row r="32" spans="2:13" s="19" customFormat="1" x14ac:dyDescent="0.25">
      <c r="B32" s="19" t="s">
        <v>28</v>
      </c>
      <c r="H32" s="51">
        <f t="shared" ref="H32:K32" si="9">H9/G9-1</f>
        <v>1.4649055896030383E-2</v>
      </c>
      <c r="I32" s="51">
        <f t="shared" si="9"/>
        <v>7.1874311635817811E-3</v>
      </c>
      <c r="J32" s="51">
        <f t="shared" si="9"/>
        <v>8.0603731962871628E-3</v>
      </c>
      <c r="K32" s="51">
        <f t="shared" si="9"/>
        <v>8.4008405254047958E-3</v>
      </c>
    </row>
    <row r="33" spans="2:11" s="19" customFormat="1" x14ac:dyDescent="0.25">
      <c r="B33" s="19" t="s">
        <v>87</v>
      </c>
      <c r="H33" s="51">
        <f t="shared" ref="H33:K33" si="10">H10/G10-1</f>
        <v>-1.4037764158787436E-3</v>
      </c>
      <c r="I33" s="51">
        <f t="shared" si="10"/>
        <v>-3.1250275345673151E-2</v>
      </c>
      <c r="J33" s="51">
        <f t="shared" si="10"/>
        <v>-2.7758507214851291E-2</v>
      </c>
      <c r="K33" s="51">
        <f t="shared" si="10"/>
        <v>-2.639663789838087E-2</v>
      </c>
    </row>
    <row r="34" spans="2:11" s="19" customFormat="1" x14ac:dyDescent="0.25">
      <c r="B34" s="19" t="s">
        <v>29</v>
      </c>
      <c r="H34" s="51">
        <f t="shared" ref="H34:K35" si="11">H11/G11-1</f>
        <v>0.18322877535957072</v>
      </c>
      <c r="I34" s="51">
        <f t="shared" si="11"/>
        <v>-1.6621700848803656E-2</v>
      </c>
      <c r="J34" s="51">
        <f t="shared" si="11"/>
        <v>-3.3301990812817039E-2</v>
      </c>
      <c r="K34" s="51">
        <f t="shared" si="11"/>
        <v>-3.7816188391767147E-2</v>
      </c>
    </row>
    <row r="35" spans="2:11" s="19" customFormat="1" x14ac:dyDescent="0.25">
      <c r="B35" s="19" t="s">
        <v>98</v>
      </c>
      <c r="H35" s="51">
        <f t="shared" si="11"/>
        <v>0.18322877535957049</v>
      </c>
      <c r="I35" s="51">
        <f t="shared" si="11"/>
        <v>-1.6621700848803767E-2</v>
      </c>
      <c r="J35" s="51">
        <f t="shared" si="11"/>
        <v>-3.3301990812817039E-2</v>
      </c>
      <c r="K35" s="51">
        <f t="shared" si="11"/>
        <v>-3.7816188391767147E-2</v>
      </c>
    </row>
    <row r="36" spans="2:11" x14ac:dyDescent="0.25">
      <c r="G36" s="18"/>
      <c r="H36" s="18"/>
      <c r="I36" s="18"/>
      <c r="J36" s="18"/>
      <c r="K36" s="18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2060"/>
  </sheetPr>
  <dimension ref="B2:L64"/>
  <sheetViews>
    <sheetView showGridLines="0" topLeftCell="A31" workbookViewId="0">
      <selection activeCell="F5" sqref="F5"/>
    </sheetView>
  </sheetViews>
  <sheetFormatPr defaultRowHeight="15" x14ac:dyDescent="0.25"/>
  <sheetData>
    <row r="2" spans="2:12" ht="16.5" thickBot="1" x14ac:dyDescent="0.3">
      <c r="B2" s="55" t="s">
        <v>1</v>
      </c>
      <c r="C2" s="56"/>
      <c r="D2" s="56"/>
      <c r="E2" s="56"/>
      <c r="F2" s="56"/>
      <c r="G2" s="56"/>
      <c r="H2" s="56"/>
      <c r="I2" s="56"/>
      <c r="J2" s="56"/>
      <c r="K2" s="56"/>
      <c r="L2" s="56"/>
    </row>
    <row r="3" spans="2:12" ht="15.75" thickTop="1" x14ac:dyDescent="0.25"/>
    <row r="4" spans="2:12" x14ac:dyDescent="0.25">
      <c r="B4" s="1" t="s">
        <v>8</v>
      </c>
    </row>
    <row r="5" spans="2:12" x14ac:dyDescent="0.25">
      <c r="B5" s="1"/>
      <c r="C5" s="1"/>
      <c r="D5" s="1"/>
      <c r="E5" s="1"/>
      <c r="F5" s="24">
        <f>Assumptions!$H$4</f>
        <v>2016</v>
      </c>
      <c r="G5" s="24">
        <f t="shared" ref="G5:K5" si="0">F5+1</f>
        <v>2017</v>
      </c>
      <c r="H5" s="24">
        <f t="shared" si="0"/>
        <v>2018</v>
      </c>
      <c r="I5" s="24">
        <f t="shared" si="0"/>
        <v>2019</v>
      </c>
      <c r="J5" s="24">
        <f t="shared" si="0"/>
        <v>2020</v>
      </c>
      <c r="K5" s="24">
        <f t="shared" si="0"/>
        <v>2021</v>
      </c>
    </row>
    <row r="6" spans="2:12" x14ac:dyDescent="0.25">
      <c r="B6" t="s">
        <v>2</v>
      </c>
      <c r="F6" s="14">
        <f>Assumptions!H38</f>
        <v>1469.0000000345221</v>
      </c>
      <c r="G6" s="14">
        <f>Assumptions!I38</f>
        <v>2099.0001218057396</v>
      </c>
      <c r="H6" s="14">
        <f>Assumptions!J38</f>
        <v>2174.0001218057396</v>
      </c>
      <c r="I6" s="14">
        <f>Assumptions!K38</f>
        <v>2209.0001218057396</v>
      </c>
      <c r="J6" s="14">
        <f>Assumptions!L38</f>
        <v>2244.0001218057396</v>
      </c>
      <c r="K6" s="14">
        <f>Assumptions!M38</f>
        <v>2279.0001218057396</v>
      </c>
    </row>
    <row r="7" spans="2:12" x14ac:dyDescent="0.25">
      <c r="B7" t="s">
        <v>3</v>
      </c>
      <c r="F7" s="14">
        <f>-Assumptions!H44</f>
        <v>-156.99874963995174</v>
      </c>
      <c r="G7" s="14">
        <f>-Assumptions!I44</f>
        <v>-327.84276235044007</v>
      </c>
      <c r="H7" s="14">
        <f>-Assumptions!J44</f>
        <v>-381.19623485950149</v>
      </c>
      <c r="I7" s="14">
        <f>-Assumptions!K44</f>
        <v>-435.87763877194413</v>
      </c>
      <c r="J7" s="14">
        <f>-Assumptions!L44</f>
        <v>-491.36213172518711</v>
      </c>
      <c r="K7" s="14">
        <f>-Assumptions!M44</f>
        <v>-547.57407165880977</v>
      </c>
    </row>
    <row r="8" spans="2:12" x14ac:dyDescent="0.25">
      <c r="B8" s="5" t="s">
        <v>0</v>
      </c>
      <c r="C8" s="5"/>
      <c r="D8" s="5"/>
      <c r="E8" s="5"/>
      <c r="F8" s="16">
        <f t="shared" ref="F8:K8" si="1">SUM(F6:F7)</f>
        <v>1312.0012503945704</v>
      </c>
      <c r="G8" s="16">
        <f t="shared" si="1"/>
        <v>1771.1573594552995</v>
      </c>
      <c r="H8" s="16">
        <f t="shared" si="1"/>
        <v>1792.803886946238</v>
      </c>
      <c r="I8" s="16">
        <f t="shared" si="1"/>
        <v>1773.1224830337956</v>
      </c>
      <c r="J8" s="16">
        <f t="shared" si="1"/>
        <v>1752.6379900805525</v>
      </c>
      <c r="K8" s="16">
        <f t="shared" si="1"/>
        <v>1731.4260501469298</v>
      </c>
    </row>
    <row r="9" spans="2:12" x14ac:dyDescent="0.25">
      <c r="B9" t="s">
        <v>26</v>
      </c>
      <c r="F9" s="2">
        <f>Assumptions!H56</f>
        <v>56.657890000000002</v>
      </c>
      <c r="G9" s="2">
        <f>Assumptions!I56</f>
        <v>72.805828681329075</v>
      </c>
      <c r="H9" s="2">
        <f>Assumptions!J56</f>
        <v>72.805828681329075</v>
      </c>
      <c r="I9" s="2">
        <f>Assumptions!K56</f>
        <v>72.805828681329075</v>
      </c>
      <c r="J9" s="2">
        <f>Assumptions!L56</f>
        <v>72.805828681329075</v>
      </c>
      <c r="K9" s="2">
        <f>Assumptions!M56</f>
        <v>72.805828681329075</v>
      </c>
    </row>
    <row r="10" spans="2:12" x14ac:dyDescent="0.25">
      <c r="B10" t="s">
        <v>4</v>
      </c>
      <c r="F10" s="2">
        <f>-Assumptions!H50</f>
        <v>-101.14299974987433</v>
      </c>
      <c r="G10" s="2">
        <f>-Assumptions!I50</f>
        <v>-261.38902987922506</v>
      </c>
      <c r="H10" s="2">
        <f>-Assumptions!J50</f>
        <v>-285.25713764990456</v>
      </c>
      <c r="I10" s="2">
        <f>-Assumptions!K50</f>
        <v>-314.96218694250831</v>
      </c>
      <c r="J10" s="2">
        <f>-Assumptions!L50</f>
        <v>-336.97502820945897</v>
      </c>
      <c r="K10" s="2">
        <f>-Assumptions!M50</f>
        <v>-355.05365996308922</v>
      </c>
    </row>
    <row r="11" spans="2:12" x14ac:dyDescent="0.25">
      <c r="B11" s="1" t="s">
        <v>1</v>
      </c>
      <c r="F11" s="3">
        <f t="shared" ref="F11:K11" si="2">SUM(F8:F10)</f>
        <v>1267.516140644696</v>
      </c>
      <c r="G11" s="3">
        <f t="shared" si="2"/>
        <v>1582.5741582574035</v>
      </c>
      <c r="H11" s="3">
        <f t="shared" si="2"/>
        <v>1580.3525779776626</v>
      </c>
      <c r="I11" s="3">
        <f t="shared" si="2"/>
        <v>1530.9661247726162</v>
      </c>
      <c r="J11" s="3">
        <f t="shared" si="2"/>
        <v>1488.4687905524227</v>
      </c>
      <c r="K11" s="3">
        <f t="shared" si="2"/>
        <v>1449.1782188651696</v>
      </c>
    </row>
    <row r="13" spans="2:12" x14ac:dyDescent="0.25">
      <c r="B13" s="1" t="s">
        <v>37</v>
      </c>
    </row>
    <row r="14" spans="2:12" x14ac:dyDescent="0.25">
      <c r="B14" s="5" t="s">
        <v>63</v>
      </c>
      <c r="F14" s="18">
        <f>Assumptions!H24</f>
        <v>8.0600000000000005E-2</v>
      </c>
      <c r="G14" s="18">
        <f>Assumptions!I24</f>
        <v>8.0600000000000005E-2</v>
      </c>
      <c r="H14" s="18">
        <f>Assumptions!J24</f>
        <v>8.0600000000000005E-2</v>
      </c>
      <c r="I14" s="18">
        <f>Assumptions!K24</f>
        <v>8.0600000000000005E-2</v>
      </c>
      <c r="J14" s="18">
        <f>Assumptions!L24</f>
        <v>8.0600000000000005E-2</v>
      </c>
      <c r="K14" s="18">
        <f>Assumptions!M24</f>
        <v>8.0600000000000005E-2</v>
      </c>
    </row>
    <row r="15" spans="2:12" x14ac:dyDescent="0.25">
      <c r="B15" t="s">
        <v>64</v>
      </c>
      <c r="F15" s="18">
        <f>Assumptions!H25</f>
        <v>5.8400000000000001E-2</v>
      </c>
      <c r="G15" s="18">
        <f>Assumptions!I25</f>
        <v>5.8400000000000001E-2</v>
      </c>
      <c r="H15" s="18">
        <f>Assumptions!J25</f>
        <v>5.8400000000000001E-2</v>
      </c>
      <c r="I15" s="18">
        <f>Assumptions!K25</f>
        <v>5.8400000000000001E-2</v>
      </c>
      <c r="J15" s="18">
        <f>Assumptions!L25</f>
        <v>5.8400000000000001E-2</v>
      </c>
      <c r="K15" s="18">
        <f>Assumptions!M25</f>
        <v>5.8400000000000001E-2</v>
      </c>
    </row>
    <row r="16" spans="2:12" ht="5.0999999999999996" customHeight="1" x14ac:dyDescent="0.25">
      <c r="F16" s="18"/>
      <c r="G16" s="18"/>
      <c r="H16" s="18"/>
      <c r="I16" s="18"/>
      <c r="J16" s="18"/>
      <c r="K16" s="18"/>
    </row>
    <row r="17" spans="2:12" x14ac:dyDescent="0.25">
      <c r="B17" s="1" t="s">
        <v>38</v>
      </c>
      <c r="C17" s="1"/>
      <c r="D17" s="1"/>
      <c r="E17" s="1"/>
      <c r="F17" s="33">
        <f>F11*$F$14</f>
        <v>102.1618009359625</v>
      </c>
      <c r="G17" s="33">
        <f t="shared" ref="G17:K17" si="3">G11*$F$14</f>
        <v>127.55547715554673</v>
      </c>
      <c r="H17" s="33">
        <f t="shared" si="3"/>
        <v>127.37641778499962</v>
      </c>
      <c r="I17" s="33">
        <f t="shared" si="3"/>
        <v>123.39586965667287</v>
      </c>
      <c r="J17" s="33">
        <f t="shared" si="3"/>
        <v>119.97058451852527</v>
      </c>
      <c r="K17" s="33">
        <f t="shared" si="3"/>
        <v>116.80376444053267</v>
      </c>
    </row>
    <row r="18" spans="2:12" x14ac:dyDescent="0.25">
      <c r="B18" s="1" t="s">
        <v>39</v>
      </c>
      <c r="C18" s="1"/>
      <c r="D18" s="1"/>
      <c r="E18" s="1"/>
      <c r="F18" s="33">
        <f>F11*$F$15</f>
        <v>74.022942613650244</v>
      </c>
      <c r="G18" s="33">
        <f t="shared" ref="G18:K18" si="4">G11*$F$15</f>
        <v>92.42233084223237</v>
      </c>
      <c r="H18" s="33">
        <f t="shared" si="4"/>
        <v>92.292590553895494</v>
      </c>
      <c r="I18" s="33">
        <f t="shared" si="4"/>
        <v>89.408421686720786</v>
      </c>
      <c r="J18" s="33">
        <f t="shared" si="4"/>
        <v>86.926577368261491</v>
      </c>
      <c r="K18" s="33">
        <f t="shared" si="4"/>
        <v>84.632007981725906</v>
      </c>
    </row>
    <row r="20" spans="2:12" x14ac:dyDescent="0.25">
      <c r="B20" s="1" t="s">
        <v>19</v>
      </c>
    </row>
    <row r="21" spans="2:12" x14ac:dyDescent="0.25">
      <c r="B21" t="s">
        <v>48</v>
      </c>
      <c r="F21" s="18">
        <f>Assumptions!H18</f>
        <v>0.45</v>
      </c>
      <c r="G21" s="18">
        <f>Assumptions!I18</f>
        <v>0.45</v>
      </c>
      <c r="H21" s="18">
        <f>Assumptions!J18</f>
        <v>0.45</v>
      </c>
      <c r="I21" s="18">
        <f>Assumptions!K18</f>
        <v>0.45</v>
      </c>
      <c r="J21" s="18">
        <f>Assumptions!L18</f>
        <v>0.45</v>
      </c>
      <c r="K21" s="18">
        <f>Assumptions!M18</f>
        <v>0.45</v>
      </c>
    </row>
    <row r="22" spans="2:12" x14ac:dyDescent="0.25">
      <c r="B22" s="5" t="s">
        <v>65</v>
      </c>
      <c r="F22" s="18">
        <f>Assumptions!H21</f>
        <v>9.7000000000000003E-2</v>
      </c>
      <c r="G22" s="18">
        <f>Assumptions!I21</f>
        <v>9.7000000000000003E-2</v>
      </c>
      <c r="H22" s="18">
        <f>Assumptions!J21</f>
        <v>9.7000000000000003E-2</v>
      </c>
      <c r="I22" s="18">
        <f>Assumptions!K21</f>
        <v>9.7000000000000003E-2</v>
      </c>
      <c r="J22" s="18">
        <f>Assumptions!L21</f>
        <v>9.7000000000000003E-2</v>
      </c>
      <c r="K22" s="18">
        <f>Assumptions!M21</f>
        <v>9.7000000000000003E-2</v>
      </c>
    </row>
    <row r="23" spans="2:12" x14ac:dyDescent="0.25">
      <c r="B23" t="s">
        <v>66</v>
      </c>
      <c r="F23" s="18">
        <f>Assumptions!H22</f>
        <v>7.3999999999999996E-2</v>
      </c>
      <c r="G23" s="18">
        <f>Assumptions!I22</f>
        <v>7.3999999999999996E-2</v>
      </c>
      <c r="H23" s="18">
        <f>Assumptions!J22</f>
        <v>7.3999999999999996E-2</v>
      </c>
      <c r="I23" s="18">
        <f>Assumptions!K22</f>
        <v>7.3999999999999996E-2</v>
      </c>
      <c r="J23" s="18">
        <f>Assumptions!L22</f>
        <v>7.3999999999999996E-2</v>
      </c>
      <c r="K23" s="18">
        <f>Assumptions!M22</f>
        <v>7.3999999999999996E-2</v>
      </c>
    </row>
    <row r="24" spans="2:12" ht="5.0999999999999996" customHeight="1" x14ac:dyDescent="0.25">
      <c r="F24" s="10"/>
      <c r="G24" s="10"/>
      <c r="H24" s="10"/>
      <c r="I24" s="10"/>
      <c r="J24" s="10"/>
      <c r="K24" s="10"/>
    </row>
    <row r="25" spans="2:12" x14ac:dyDescent="0.25">
      <c r="B25" s="1" t="s">
        <v>36</v>
      </c>
      <c r="C25" s="1"/>
      <c r="D25" s="1"/>
      <c r="E25" s="1"/>
      <c r="F25" s="34">
        <f>F11*F21*$F$22</f>
        <v>55.327079539140982</v>
      </c>
      <c r="G25" s="34">
        <f t="shared" ref="G25:K25" si="5">G11*G21*$F$22</f>
        <v>69.079362007935671</v>
      </c>
      <c r="H25" s="34">
        <f t="shared" si="5"/>
        <v>68.982390028724978</v>
      </c>
      <c r="I25" s="34">
        <f t="shared" si="5"/>
        <v>66.826671346324702</v>
      </c>
      <c r="J25" s="34">
        <f t="shared" si="5"/>
        <v>64.971662707613248</v>
      </c>
      <c r="K25" s="34">
        <f t="shared" si="5"/>
        <v>63.256629253464652</v>
      </c>
    </row>
    <row r="26" spans="2:12" x14ac:dyDescent="0.25">
      <c r="B26" s="1" t="s">
        <v>40</v>
      </c>
      <c r="C26" s="1"/>
      <c r="D26" s="1"/>
      <c r="E26" s="1"/>
      <c r="F26" s="34">
        <f>F11*F21*$F$23</f>
        <v>42.208287483468375</v>
      </c>
      <c r="G26" s="34">
        <f t="shared" ref="G26:K26" si="6">G11*G21*$F$23</f>
        <v>52.699719469971534</v>
      </c>
      <c r="H26" s="34">
        <f t="shared" si="6"/>
        <v>52.625740846656164</v>
      </c>
      <c r="I26" s="34">
        <f t="shared" si="6"/>
        <v>50.981171954928122</v>
      </c>
      <c r="J26" s="34">
        <f t="shared" si="6"/>
        <v>49.566010725395678</v>
      </c>
      <c r="K26" s="34">
        <f t="shared" si="6"/>
        <v>48.257634688210146</v>
      </c>
    </row>
    <row r="29" spans="2:12" ht="16.5" thickBot="1" x14ac:dyDescent="0.3">
      <c r="B29" s="55" t="s">
        <v>34</v>
      </c>
      <c r="C29" s="56"/>
      <c r="D29" s="56"/>
      <c r="E29" s="56"/>
      <c r="F29" s="56"/>
      <c r="G29" s="56"/>
      <c r="H29" s="56"/>
      <c r="I29" s="56"/>
      <c r="J29" s="56"/>
      <c r="K29" s="56"/>
      <c r="L29" s="56"/>
    </row>
    <row r="30" spans="2:12" ht="15.75" thickTop="1" x14ac:dyDescent="0.25"/>
    <row r="31" spans="2:12" x14ac:dyDescent="0.25">
      <c r="B31" s="1" t="s">
        <v>115</v>
      </c>
    </row>
    <row r="32" spans="2:12" x14ac:dyDescent="0.25">
      <c r="B32" s="1" t="s">
        <v>116</v>
      </c>
    </row>
    <row r="33" spans="2:11" x14ac:dyDescent="0.25">
      <c r="B33" s="1"/>
      <c r="F33" s="24">
        <f>Assumptions!$H$4</f>
        <v>2016</v>
      </c>
      <c r="G33" s="24">
        <f t="shared" ref="G33:K33" si="7">F33+1</f>
        <v>2017</v>
      </c>
      <c r="H33" s="24">
        <f t="shared" si="7"/>
        <v>2018</v>
      </c>
      <c r="I33" s="24">
        <f t="shared" si="7"/>
        <v>2019</v>
      </c>
      <c r="J33" s="24">
        <f t="shared" si="7"/>
        <v>2020</v>
      </c>
      <c r="K33" s="24">
        <f t="shared" si="7"/>
        <v>2021</v>
      </c>
    </row>
    <row r="34" spans="2:11" x14ac:dyDescent="0.25">
      <c r="B34" t="s">
        <v>46</v>
      </c>
      <c r="F34" s="2">
        <f>F$17</f>
        <v>102.1618009359625</v>
      </c>
      <c r="G34" s="2">
        <f t="shared" ref="G34:K34" si="8">G$17</f>
        <v>127.55547715554673</v>
      </c>
      <c r="H34" s="2">
        <f t="shared" si="8"/>
        <v>127.37641778499962</v>
      </c>
      <c r="I34" s="2">
        <f t="shared" si="8"/>
        <v>123.39586965667287</v>
      </c>
      <c r="J34" s="2">
        <f t="shared" si="8"/>
        <v>119.97058451852527</v>
      </c>
      <c r="K34" s="2">
        <f t="shared" si="8"/>
        <v>116.80376444053267</v>
      </c>
    </row>
    <row r="35" spans="2:11" x14ac:dyDescent="0.25">
      <c r="B35" t="s">
        <v>27</v>
      </c>
      <c r="F35" s="2">
        <f>Assumptions!H$78</f>
        <v>20.239000000000001</v>
      </c>
      <c r="G35" s="2">
        <f>Assumptions!I$78</f>
        <v>26.412052185417053</v>
      </c>
      <c r="H35" s="2">
        <f>Assumptions!J$78</f>
        <v>26.940293229125395</v>
      </c>
      <c r="I35" s="2">
        <f>Assumptions!K$78</f>
        <v>27.479099093707902</v>
      </c>
      <c r="J35" s="2">
        <f>Assumptions!L$78</f>
        <v>28.02868107558206</v>
      </c>
      <c r="K35" s="2">
        <f>Assumptions!M$78</f>
        <v>28.5892546970937</v>
      </c>
    </row>
    <row r="36" spans="2:11" x14ac:dyDescent="0.25">
      <c r="B36" t="s">
        <v>33</v>
      </c>
      <c r="F36" s="2">
        <f>Assumptions!H$41</f>
        <v>37.256999999999998</v>
      </c>
      <c r="G36" s="2">
        <f>Assumptions!I$41</f>
        <v>38.34391969613219</v>
      </c>
      <c r="H36" s="2">
        <f>Assumptions!J$41</f>
        <v>40.853469464781</v>
      </c>
      <c r="I36" s="2">
        <f>Assumptions!K$41</f>
        <v>42.181400868162171</v>
      </c>
      <c r="J36" s="2">
        <f>Assumptions!L$41</f>
        <v>42.98448990896253</v>
      </c>
      <c r="K36" s="2">
        <f>Assumptions!M$41</f>
        <v>43.711936889342269</v>
      </c>
    </row>
    <row r="37" spans="2:11" x14ac:dyDescent="0.25">
      <c r="B37" t="s">
        <v>31</v>
      </c>
      <c r="F37" s="2">
        <f>Assumptions!H$83</f>
        <v>0.68899999999999995</v>
      </c>
      <c r="G37" s="2">
        <f>Assumptions!I$83</f>
        <v>0.88537035109206719</v>
      </c>
      <c r="H37" s="2">
        <f>Assumptions!J$83</f>
        <v>0.88537035109206719</v>
      </c>
      <c r="I37" s="2">
        <f>Assumptions!K$83</f>
        <v>0.88537035109206719</v>
      </c>
      <c r="J37" s="2">
        <f>Assumptions!L$83</f>
        <v>0.88537035109206719</v>
      </c>
      <c r="K37" s="2">
        <f>Assumptions!M$83</f>
        <v>0.88537035109206719</v>
      </c>
    </row>
    <row r="38" spans="2:11" x14ac:dyDescent="0.25">
      <c r="B38" t="s">
        <v>28</v>
      </c>
      <c r="F38" s="2">
        <f>Assumptions!H$95</f>
        <v>22.67</v>
      </c>
      <c r="G38" s="2">
        <f>Assumptions!I$95</f>
        <v>30.879908670787913</v>
      </c>
      <c r="H38" s="2">
        <f>Assumptions!J$95</f>
        <v>31.332270178970596</v>
      </c>
      <c r="I38" s="2">
        <f>Assumptions!K$95</f>
        <v>31.557468714080692</v>
      </c>
      <c r="J38" s="2">
        <f>Assumptions!L$95</f>
        <v>31.811833689046338</v>
      </c>
      <c r="K38" s="2">
        <f>Assumptions!M$95</f>
        <v>32.07907983068872</v>
      </c>
    </row>
    <row r="39" spans="2:11" x14ac:dyDescent="0.25">
      <c r="B39" t="s">
        <v>29</v>
      </c>
      <c r="F39" s="2">
        <f>Assumptions!H$101</f>
        <v>25.457999999999998</v>
      </c>
      <c r="G39" s="2">
        <f>Assumptions!I$101</f>
        <v>33.782171274483233</v>
      </c>
      <c r="H39" s="2">
        <f>Assumptions!J$101</f>
        <v>33.734681994840166</v>
      </c>
      <c r="I39" s="2">
        <f>Assumptions!K$101</f>
        <v>32.646456548981433</v>
      </c>
      <c r="J39" s="2">
        <f>Assumptions!L$101</f>
        <v>31.714366213011282</v>
      </c>
      <c r="K39" s="2">
        <f>Assumptions!M$101</f>
        <v>30.854516428501068</v>
      </c>
    </row>
    <row r="40" spans="2:11" x14ac:dyDescent="0.25">
      <c r="B40" s="1" t="s">
        <v>34</v>
      </c>
      <c r="C40" s="1"/>
      <c r="D40" s="1"/>
      <c r="E40" s="1"/>
      <c r="F40" s="3">
        <f>SUM(F34:F39)</f>
        <v>208.47480093596252</v>
      </c>
      <c r="G40" s="3">
        <f t="shared" ref="G40:K40" si="9">SUM(G34:G39)</f>
        <v>257.85889933345919</v>
      </c>
      <c r="H40" s="3">
        <f t="shared" si="9"/>
        <v>261.12250300380884</v>
      </c>
      <c r="I40" s="3">
        <f t="shared" si="9"/>
        <v>258.14566523269718</v>
      </c>
      <c r="J40" s="3">
        <f t="shared" si="9"/>
        <v>255.39532575621953</v>
      </c>
      <c r="K40" s="3">
        <f t="shared" si="9"/>
        <v>252.92392263725048</v>
      </c>
    </row>
    <row r="43" spans="2:11" x14ac:dyDescent="0.25">
      <c r="B43" s="1" t="s">
        <v>115</v>
      </c>
    </row>
    <row r="44" spans="2:11" x14ac:dyDescent="0.25">
      <c r="B44" s="1" t="s">
        <v>117</v>
      </c>
    </row>
    <row r="45" spans="2:11" x14ac:dyDescent="0.25">
      <c r="B45" s="1"/>
      <c r="F45" s="24">
        <f>Assumptions!$H$4</f>
        <v>2016</v>
      </c>
      <c r="G45" s="24">
        <f t="shared" ref="G45:K45" si="10">F45+1</f>
        <v>2017</v>
      </c>
      <c r="H45" s="24">
        <f t="shared" si="10"/>
        <v>2018</v>
      </c>
      <c r="I45" s="24">
        <f t="shared" si="10"/>
        <v>2019</v>
      </c>
      <c r="J45" s="24">
        <f t="shared" si="10"/>
        <v>2020</v>
      </c>
      <c r="K45" s="24">
        <f t="shared" si="10"/>
        <v>2021</v>
      </c>
    </row>
    <row r="46" spans="2:11" x14ac:dyDescent="0.25">
      <c r="B46" t="s">
        <v>47</v>
      </c>
      <c r="F46" s="2">
        <f>F25</f>
        <v>55.327079539140982</v>
      </c>
      <c r="G46" s="2">
        <f>G25</f>
        <v>69.079362007935671</v>
      </c>
      <c r="H46" s="2">
        <f>H25</f>
        <v>68.982390028724978</v>
      </c>
      <c r="I46" s="2">
        <f>I25</f>
        <v>66.826671346324702</v>
      </c>
      <c r="J46" s="2">
        <f>J25</f>
        <v>64.971662707613248</v>
      </c>
      <c r="K46" s="2">
        <f>K25</f>
        <v>63.256629253464652</v>
      </c>
    </row>
    <row r="47" spans="2:11" x14ac:dyDescent="0.25">
      <c r="B47" t="s">
        <v>27</v>
      </c>
      <c r="F47" s="2">
        <f>Assumptions!H$78</f>
        <v>20.239000000000001</v>
      </c>
      <c r="G47" s="2">
        <f>Assumptions!I$78</f>
        <v>26.412052185417053</v>
      </c>
      <c r="H47" s="2">
        <f>Assumptions!J$78</f>
        <v>26.940293229125395</v>
      </c>
      <c r="I47" s="2">
        <f>Assumptions!K$78</f>
        <v>27.479099093707902</v>
      </c>
      <c r="J47" s="2">
        <f>Assumptions!L$78</f>
        <v>28.02868107558206</v>
      </c>
      <c r="K47" s="2">
        <f>Assumptions!M$78</f>
        <v>28.5892546970937</v>
      </c>
    </row>
    <row r="48" spans="2:11" x14ac:dyDescent="0.25">
      <c r="B48" t="s">
        <v>33</v>
      </c>
      <c r="F48" s="2">
        <f>Assumptions!H$88</f>
        <v>22.67</v>
      </c>
      <c r="G48" s="2">
        <f>Assumptions!I$88</f>
        <v>50.843922740412651</v>
      </c>
      <c r="H48" s="2">
        <f>Assumptions!J$88</f>
        <v>53.353472509061419</v>
      </c>
      <c r="I48" s="2">
        <f>Assumptions!K$88</f>
        <v>54.681403912442619</v>
      </c>
      <c r="J48" s="2">
        <f>Assumptions!L$88</f>
        <v>55.484492953242977</v>
      </c>
      <c r="K48" s="2">
        <f>Assumptions!M$88</f>
        <v>56.211939933622688</v>
      </c>
    </row>
    <row r="49" spans="2:11" x14ac:dyDescent="0.25">
      <c r="B49" t="s">
        <v>31</v>
      </c>
      <c r="F49" s="2">
        <f>Assumptions!H$83</f>
        <v>0.68899999999999995</v>
      </c>
      <c r="G49" s="2">
        <f>Assumptions!I$83</f>
        <v>0.88537035109206719</v>
      </c>
      <c r="H49" s="2">
        <f>Assumptions!J$83</f>
        <v>0.88537035109206719</v>
      </c>
      <c r="I49" s="2">
        <f>Assumptions!K$83</f>
        <v>0.88537035109206719</v>
      </c>
      <c r="J49" s="2">
        <f>Assumptions!L$83</f>
        <v>0.88537035109206719</v>
      </c>
      <c r="K49" s="2">
        <f>Assumptions!M$83</f>
        <v>0.88537035109206719</v>
      </c>
    </row>
    <row r="50" spans="2:11" x14ac:dyDescent="0.25">
      <c r="B50" t="s">
        <v>28</v>
      </c>
      <c r="F50" s="2">
        <f>Assumptions!H$95</f>
        <v>22.67</v>
      </c>
      <c r="G50" s="2">
        <f>Assumptions!I$95</f>
        <v>30.879908670787913</v>
      </c>
      <c r="H50" s="2">
        <f>Assumptions!J$95</f>
        <v>31.332270178970596</v>
      </c>
      <c r="I50" s="2">
        <f>Assumptions!K$95</f>
        <v>31.557468714080692</v>
      </c>
      <c r="J50" s="2">
        <f>Assumptions!L$95</f>
        <v>31.811833689046338</v>
      </c>
      <c r="K50" s="2">
        <f>Assumptions!M$95</f>
        <v>32.07907983068872</v>
      </c>
    </row>
    <row r="51" spans="2:11" x14ac:dyDescent="0.25">
      <c r="B51" t="s">
        <v>87</v>
      </c>
      <c r="F51" s="2">
        <f>Assumptions!H106</f>
        <v>32.20217283986117</v>
      </c>
      <c r="G51" s="2">
        <f>Assumptions!I106</f>
        <v>40.822500412249724</v>
      </c>
      <c r="H51" s="2">
        <f>Assumptions!J106</f>
        <v>40.765194748933808</v>
      </c>
      <c r="I51" s="2">
        <f>Assumptions!K106</f>
        <v>39.491271188509636</v>
      </c>
      <c r="J51" s="2">
        <f>Assumptions!L106</f>
        <v>38.395052452299744</v>
      </c>
      <c r="K51" s="2">
        <f>Assumptions!M106</f>
        <v>37.381552155627048</v>
      </c>
    </row>
    <row r="52" spans="2:11" x14ac:dyDescent="0.25">
      <c r="B52" t="s">
        <v>29</v>
      </c>
      <c r="F52" s="2">
        <f>Assumptions!H$101</f>
        <v>25.457999999999998</v>
      </c>
      <c r="G52" s="2">
        <f>Assumptions!I$101</f>
        <v>33.782171274483233</v>
      </c>
      <c r="H52" s="2">
        <f>Assumptions!J$101</f>
        <v>33.734681994840166</v>
      </c>
      <c r="I52" s="2">
        <f>Assumptions!K$101</f>
        <v>32.646456548981433</v>
      </c>
      <c r="J52" s="2">
        <f>Assumptions!L$101</f>
        <v>31.714366213011282</v>
      </c>
      <c r="K52" s="2">
        <f>Assumptions!M$101</f>
        <v>30.854516428501068</v>
      </c>
    </row>
    <row r="53" spans="2:11" x14ac:dyDescent="0.25">
      <c r="B53" s="1" t="s">
        <v>34</v>
      </c>
      <c r="C53" s="1"/>
      <c r="D53" s="1"/>
      <c r="E53" s="1"/>
      <c r="F53" s="3">
        <f>SUM(F46:F52)</f>
        <v>179.25525237900214</v>
      </c>
      <c r="G53" s="3">
        <f t="shared" ref="G53:K53" si="11">SUM(G46:G52)</f>
        <v>252.70528764237832</v>
      </c>
      <c r="H53" s="3">
        <f t="shared" si="11"/>
        <v>255.99367304074843</v>
      </c>
      <c r="I53" s="3">
        <f t="shared" si="11"/>
        <v>253.56774115513906</v>
      </c>
      <c r="J53" s="3">
        <f t="shared" si="11"/>
        <v>251.29145944188772</v>
      </c>
      <c r="K53" s="3">
        <f t="shared" si="11"/>
        <v>249.25834265008993</v>
      </c>
    </row>
    <row r="55" spans="2:11" x14ac:dyDescent="0.25">
      <c r="B55" s="1" t="s">
        <v>118</v>
      </c>
    </row>
    <row r="56" spans="2:11" x14ac:dyDescent="0.25">
      <c r="B56" s="1"/>
      <c r="F56" s="24">
        <f>Assumptions!$H$4</f>
        <v>2016</v>
      </c>
      <c r="G56" s="24">
        <f t="shared" ref="G56:K56" si="12">F56+1</f>
        <v>2017</v>
      </c>
      <c r="H56" s="24">
        <f t="shared" si="12"/>
        <v>2018</v>
      </c>
      <c r="I56" s="24">
        <f t="shared" si="12"/>
        <v>2019</v>
      </c>
      <c r="J56" s="24">
        <f t="shared" si="12"/>
        <v>2020</v>
      </c>
      <c r="K56" s="24">
        <f t="shared" si="12"/>
        <v>2021</v>
      </c>
    </row>
    <row r="57" spans="2:11" x14ac:dyDescent="0.25">
      <c r="B57" s="5" t="s">
        <v>1</v>
      </c>
      <c r="F57" s="2"/>
      <c r="G57" s="2">
        <f>Assumptions!I118</f>
        <v>1555.9760466132298</v>
      </c>
      <c r="H57" s="2">
        <f>Assumptions!J118</f>
        <v>1581.463368117533</v>
      </c>
      <c r="I57" s="2">
        <f>Assumptions!K118</f>
        <v>1555.6593513751395</v>
      </c>
      <c r="J57" s="2">
        <f>Assumptions!L118</f>
        <v>1509.7174576625193</v>
      </c>
      <c r="K57" s="2">
        <f>Assumptions!M118</f>
        <v>1468.823504708796</v>
      </c>
    </row>
    <row r="58" spans="2:11" x14ac:dyDescent="0.25">
      <c r="B58" t="s">
        <v>46</v>
      </c>
      <c r="G58" s="2">
        <f>G57*G14</f>
        <v>125.41166935702633</v>
      </c>
      <c r="H58" s="2">
        <f>H57*H14</f>
        <v>127.46594747027316</v>
      </c>
      <c r="I58" s="2">
        <f>I57*I14</f>
        <v>125.38614372083626</v>
      </c>
      <c r="J58" s="2">
        <f>J57*J14</f>
        <v>121.68322708759906</v>
      </c>
      <c r="K58" s="2">
        <f>K57*K14</f>
        <v>118.38717447952897</v>
      </c>
    </row>
    <row r="59" spans="2:11" x14ac:dyDescent="0.25">
      <c r="B59" t="s">
        <v>27</v>
      </c>
      <c r="G59" s="2">
        <f>Assumptions!I124</f>
        <v>11.964707313524293</v>
      </c>
      <c r="H59" s="2">
        <f>Assumptions!J124</f>
        <v>11.964707313524293</v>
      </c>
      <c r="I59" s="2">
        <f>Assumptions!K124</f>
        <v>11.964707313524293</v>
      </c>
      <c r="J59" s="2">
        <f>Assumptions!L124</f>
        <v>11.964707313524293</v>
      </c>
      <c r="K59" s="2">
        <f>Assumptions!M124</f>
        <v>11.964707313524293</v>
      </c>
    </row>
    <row r="60" spans="2:11" x14ac:dyDescent="0.25">
      <c r="B60" t="s">
        <v>33</v>
      </c>
      <c r="G60" s="2">
        <f>Assumptions!H130</f>
        <v>33.406000000000006</v>
      </c>
      <c r="H60" s="2">
        <f>Assumptions!I130-Assumptions!H130</f>
        <v>50.300462892346516</v>
      </c>
      <c r="I60" s="2">
        <f>Assumptions!J130-Assumptions!I130</f>
        <v>52.098697624737028</v>
      </c>
      <c r="J60" s="2">
        <f>Assumptions!K130-Assumptions!J130</f>
        <v>54.017438210752005</v>
      </c>
      <c r="K60" s="2">
        <f>Assumptions!L130-Assumptions!K130</f>
        <v>55.082948432842784</v>
      </c>
    </row>
    <row r="61" spans="2:11" x14ac:dyDescent="0.25">
      <c r="B61" t="s">
        <v>31</v>
      </c>
      <c r="G61" s="2">
        <f>Assumptions!I136</f>
        <v>0.77357467540990488</v>
      </c>
      <c r="H61" s="2">
        <f>Assumptions!J136</f>
        <v>0.77357467540990488</v>
      </c>
      <c r="I61" s="2">
        <f>Assumptions!K136</f>
        <v>0.77357467540990488</v>
      </c>
      <c r="J61" s="2">
        <f>Assumptions!L136</f>
        <v>0.77357467540990488</v>
      </c>
      <c r="K61" s="2">
        <f>Assumptions!M136</f>
        <v>0.77357467540990488</v>
      </c>
    </row>
    <row r="62" spans="2:11" x14ac:dyDescent="0.25">
      <c r="B62" t="s">
        <v>28</v>
      </c>
      <c r="G62" s="2">
        <f>Assumptions!I142</f>
        <v>29.835492368236601</v>
      </c>
      <c r="H62" s="2">
        <f>Assumptions!J142</f>
        <v>30.534440109848344</v>
      </c>
      <c r="I62" s="2">
        <f>Assumptions!K142</f>
        <v>30.406628790121545</v>
      </c>
      <c r="J62" s="2">
        <f>Assumptions!L142</f>
        <v>30.174737503461532</v>
      </c>
      <c r="K62" s="2">
        <f>Assumptions!M142</f>
        <v>29.960273293742091</v>
      </c>
    </row>
    <row r="63" spans="2:11" x14ac:dyDescent="0.25">
      <c r="B63" t="s">
        <v>29</v>
      </c>
      <c r="G63" s="2">
        <f>Assumptions!I148</f>
        <v>39.733383693863658</v>
      </c>
      <c r="H63" s="2">
        <f>Assumptions!J148</f>
        <v>40.243860831993572</v>
      </c>
      <c r="I63" s="2">
        <f>Assumptions!K148</f>
        <v>39.676003469242673</v>
      </c>
      <c r="J63" s="2">
        <f>Assumptions!L148</f>
        <v>38.665845578328231</v>
      </c>
      <c r="K63" s="2">
        <f>Assumptions!M148</f>
        <v>37.76987551808805</v>
      </c>
    </row>
    <row r="64" spans="2:11" x14ac:dyDescent="0.25">
      <c r="B64" s="1" t="s">
        <v>34</v>
      </c>
      <c r="C64" s="1"/>
      <c r="D64" s="1"/>
      <c r="E64" s="1"/>
      <c r="G64" s="3">
        <f t="shared" ref="G64:K64" si="13">SUM(G58:G63)</f>
        <v>241.12482740806081</v>
      </c>
      <c r="H64" s="3">
        <f t="shared" si="13"/>
        <v>261.2829932933958</v>
      </c>
      <c r="I64" s="3">
        <f t="shared" si="13"/>
        <v>260.30575559387171</v>
      </c>
      <c r="J64" s="3">
        <f t="shared" si="13"/>
        <v>257.27953036907502</v>
      </c>
      <c r="K64" s="3">
        <f t="shared" si="13"/>
        <v>253.93855371313609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Z148"/>
  <sheetViews>
    <sheetView showGridLines="0" zoomScaleNormal="100" workbookViewId="0">
      <selection activeCell="N48" sqref="N48"/>
    </sheetView>
  </sheetViews>
  <sheetFormatPr defaultRowHeight="15" x14ac:dyDescent="0.25"/>
  <cols>
    <col min="2" max="2" width="3.28515625" style="63" customWidth="1"/>
    <col min="7" max="7" width="10.42578125" bestFit="1" customWidth="1"/>
    <col min="14" max="15" width="9.140625" style="27"/>
  </cols>
  <sheetData>
    <row r="2" spans="2:26" x14ac:dyDescent="0.25">
      <c r="B2" s="63" t="s">
        <v>89</v>
      </c>
      <c r="C2" s="62" t="s">
        <v>114</v>
      </c>
      <c r="D2" s="57"/>
      <c r="E2" s="57"/>
      <c r="F2" s="57"/>
      <c r="G2" s="57"/>
      <c r="H2" s="58"/>
      <c r="I2" s="59"/>
      <c r="J2" s="59"/>
      <c r="K2" s="59"/>
      <c r="L2" s="59"/>
      <c r="M2" s="59"/>
      <c r="N2" s="60"/>
      <c r="O2" s="61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</row>
    <row r="4" spans="2:26" x14ac:dyDescent="0.25">
      <c r="C4" t="s">
        <v>119</v>
      </c>
      <c r="H4">
        <v>2016</v>
      </c>
    </row>
    <row r="5" spans="2:26" x14ac:dyDescent="0.25">
      <c r="C5" t="s">
        <v>101</v>
      </c>
      <c r="H5" s="45">
        <v>0.35499999999999998</v>
      </c>
      <c r="I5" s="27"/>
      <c r="J5" s="27"/>
    </row>
    <row r="6" spans="2:26" x14ac:dyDescent="0.25">
      <c r="C6" t="s">
        <v>102</v>
      </c>
      <c r="H6" s="46">
        <v>40</v>
      </c>
      <c r="I6" s="27"/>
      <c r="J6" s="27"/>
    </row>
    <row r="7" spans="2:26" x14ac:dyDescent="0.25">
      <c r="C7" t="s">
        <v>103</v>
      </c>
      <c r="H7" s="46">
        <v>15</v>
      </c>
      <c r="I7" s="27"/>
      <c r="J7" s="27"/>
    </row>
    <row r="8" spans="2:26" x14ac:dyDescent="0.25">
      <c r="C8" t="s">
        <v>104</v>
      </c>
      <c r="H8" s="46">
        <v>0.5</v>
      </c>
      <c r="I8" s="27"/>
      <c r="J8" s="27"/>
    </row>
    <row r="9" spans="2:26" x14ac:dyDescent="0.25">
      <c r="C9" t="s">
        <v>35</v>
      </c>
      <c r="H9" s="47">
        <v>0.02</v>
      </c>
      <c r="I9" s="27"/>
      <c r="J9" s="27"/>
    </row>
    <row r="10" spans="2:26" x14ac:dyDescent="0.25">
      <c r="C10" t="s">
        <v>61</v>
      </c>
      <c r="H10" s="48">
        <f>380/1333.297</f>
        <v>0.28500776646163606</v>
      </c>
      <c r="I10" s="28"/>
      <c r="J10" s="29"/>
    </row>
    <row r="11" spans="2:26" x14ac:dyDescent="0.25">
      <c r="C11" t="s">
        <v>90</v>
      </c>
      <c r="H11" s="48">
        <v>0.5</v>
      </c>
      <c r="I11" s="28"/>
      <c r="J11" s="29"/>
    </row>
    <row r="14" spans="2:26" x14ac:dyDescent="0.25">
      <c r="B14" s="63" t="s">
        <v>89</v>
      </c>
      <c r="C14" s="62" t="s">
        <v>110</v>
      </c>
      <c r="D14" s="57"/>
      <c r="E14" s="57"/>
      <c r="F14" s="57"/>
      <c r="G14" s="57"/>
      <c r="H14" s="58"/>
      <c r="I14" s="59"/>
      <c r="J14" s="59"/>
      <c r="K14" s="59"/>
      <c r="L14" s="59"/>
      <c r="M14" s="59"/>
      <c r="N14" s="60"/>
      <c r="O14" s="61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</row>
    <row r="15" spans="2:26" x14ac:dyDescent="0.25">
      <c r="H15" s="31"/>
      <c r="I15" s="15"/>
      <c r="J15" s="15"/>
      <c r="K15" s="15"/>
      <c r="L15" s="15"/>
      <c r="M15" s="15"/>
      <c r="N15" s="28"/>
      <c r="O15" s="29"/>
    </row>
    <row r="16" spans="2:26" x14ac:dyDescent="0.25">
      <c r="H16" s="24">
        <f>$H$4</f>
        <v>2016</v>
      </c>
      <c r="I16" s="24">
        <f t="shared" ref="I16:M16" si="0">H16+1</f>
        <v>2017</v>
      </c>
      <c r="J16" s="24">
        <f t="shared" si="0"/>
        <v>2018</v>
      </c>
      <c r="K16" s="24">
        <f t="shared" si="0"/>
        <v>2019</v>
      </c>
      <c r="L16" s="24">
        <f t="shared" si="0"/>
        <v>2020</v>
      </c>
      <c r="M16" s="24">
        <f t="shared" si="0"/>
        <v>2021</v>
      </c>
    </row>
    <row r="18" spans="2:26" x14ac:dyDescent="0.25">
      <c r="C18" s="1" t="s">
        <v>84</v>
      </c>
      <c r="H18" s="31">
        <v>0.45</v>
      </c>
      <c r="I18" s="15">
        <f t="shared" ref="I18:M28" si="1">H18</f>
        <v>0.45</v>
      </c>
      <c r="J18" s="15">
        <f t="shared" si="1"/>
        <v>0.45</v>
      </c>
      <c r="K18" s="15">
        <f t="shared" si="1"/>
        <v>0.45</v>
      </c>
      <c r="L18" s="15">
        <f t="shared" si="1"/>
        <v>0.45</v>
      </c>
      <c r="M18" s="15">
        <f t="shared" si="1"/>
        <v>0.45</v>
      </c>
      <c r="N18" s="28"/>
      <c r="O18" s="29"/>
    </row>
    <row r="19" spans="2:26" x14ac:dyDescent="0.25">
      <c r="C19" s="1" t="s">
        <v>85</v>
      </c>
      <c r="H19" s="31">
        <v>0.45829999999999999</v>
      </c>
      <c r="I19" s="31">
        <v>0.45</v>
      </c>
      <c r="J19" s="15">
        <f t="shared" si="1"/>
        <v>0.45</v>
      </c>
      <c r="K19" s="15">
        <f t="shared" si="1"/>
        <v>0.45</v>
      </c>
      <c r="L19" s="15">
        <f t="shared" si="1"/>
        <v>0.45</v>
      </c>
      <c r="M19" s="15">
        <f t="shared" si="1"/>
        <v>0.45</v>
      </c>
      <c r="N19" s="28"/>
      <c r="O19" s="29"/>
    </row>
    <row r="20" spans="2:26" x14ac:dyDescent="0.25">
      <c r="C20" s="1"/>
      <c r="H20" s="31"/>
      <c r="I20" s="31"/>
      <c r="J20" s="15"/>
      <c r="K20" s="15"/>
      <c r="L20" s="15"/>
      <c r="M20" s="15"/>
      <c r="N20" s="28"/>
      <c r="O20" s="29"/>
    </row>
    <row r="21" spans="2:26" x14ac:dyDescent="0.25">
      <c r="C21" s="1" t="s">
        <v>44</v>
      </c>
      <c r="H21" s="31">
        <v>9.7000000000000003E-2</v>
      </c>
      <c r="I21" s="15">
        <f t="shared" si="1"/>
        <v>9.7000000000000003E-2</v>
      </c>
      <c r="J21" s="15">
        <f t="shared" si="1"/>
        <v>9.7000000000000003E-2</v>
      </c>
      <c r="K21" s="15">
        <f t="shared" si="1"/>
        <v>9.7000000000000003E-2</v>
      </c>
      <c r="L21" s="15">
        <f t="shared" si="1"/>
        <v>9.7000000000000003E-2</v>
      </c>
      <c r="M21" s="15">
        <f t="shared" si="1"/>
        <v>9.7000000000000003E-2</v>
      </c>
      <c r="N21" s="28"/>
      <c r="O21" s="29"/>
    </row>
    <row r="22" spans="2:26" x14ac:dyDescent="0.25">
      <c r="C22" s="1" t="s">
        <v>43</v>
      </c>
      <c r="H22" s="31">
        <v>7.3999999999999996E-2</v>
      </c>
      <c r="I22" s="15">
        <f>H22</f>
        <v>7.3999999999999996E-2</v>
      </c>
      <c r="J22" s="15">
        <f>I22</f>
        <v>7.3999999999999996E-2</v>
      </c>
      <c r="K22" s="15">
        <f>J22</f>
        <v>7.3999999999999996E-2</v>
      </c>
      <c r="L22" s="15">
        <f>K22</f>
        <v>7.3999999999999996E-2</v>
      </c>
      <c r="M22" s="15">
        <f>L22</f>
        <v>7.3999999999999996E-2</v>
      </c>
      <c r="N22" s="28"/>
      <c r="O22" s="29"/>
    </row>
    <row r="23" spans="2:26" x14ac:dyDescent="0.25">
      <c r="C23" s="1"/>
      <c r="H23" s="31"/>
      <c r="I23" s="15"/>
      <c r="J23" s="15"/>
      <c r="K23" s="15"/>
      <c r="L23" s="15"/>
      <c r="M23" s="15"/>
      <c r="N23" s="28"/>
      <c r="O23" s="29"/>
    </row>
    <row r="24" spans="2:26" x14ac:dyDescent="0.25">
      <c r="C24" s="1" t="s">
        <v>41</v>
      </c>
      <c r="H24" s="32">
        <v>8.0600000000000005E-2</v>
      </c>
      <c r="I24" s="17">
        <f t="shared" si="1"/>
        <v>8.0600000000000005E-2</v>
      </c>
      <c r="J24" s="17">
        <f t="shared" si="1"/>
        <v>8.0600000000000005E-2</v>
      </c>
      <c r="K24" s="17">
        <f t="shared" si="1"/>
        <v>8.0600000000000005E-2</v>
      </c>
      <c r="L24" s="17">
        <f t="shared" si="1"/>
        <v>8.0600000000000005E-2</v>
      </c>
      <c r="M24" s="17">
        <f t="shared" si="1"/>
        <v>8.0600000000000005E-2</v>
      </c>
      <c r="N24" s="28"/>
      <c r="O24" s="29"/>
    </row>
    <row r="25" spans="2:26" x14ac:dyDescent="0.25">
      <c r="C25" s="1" t="s">
        <v>42</v>
      </c>
      <c r="H25" s="32">
        <v>5.8400000000000001E-2</v>
      </c>
      <c r="I25" s="17">
        <f>H25</f>
        <v>5.8400000000000001E-2</v>
      </c>
      <c r="J25" s="17">
        <f>I25</f>
        <v>5.8400000000000001E-2</v>
      </c>
      <c r="K25" s="17">
        <f>J25</f>
        <v>5.8400000000000001E-2</v>
      </c>
      <c r="L25" s="17">
        <f>K25</f>
        <v>5.8400000000000001E-2</v>
      </c>
      <c r="M25" s="17">
        <f>L25</f>
        <v>5.8400000000000001E-2</v>
      </c>
      <c r="N25" s="28"/>
      <c r="O25" s="29"/>
    </row>
    <row r="26" spans="2:26" x14ac:dyDescent="0.25">
      <c r="C26" s="1"/>
      <c r="H26" s="32"/>
      <c r="I26" s="17"/>
      <c r="J26" s="17"/>
      <c r="K26" s="17"/>
      <c r="L26" s="17"/>
      <c r="M26" s="17"/>
      <c r="N26" s="28"/>
      <c r="O26" s="29"/>
    </row>
    <row r="27" spans="2:26" x14ac:dyDescent="0.25">
      <c r="C27" s="1" t="s">
        <v>67</v>
      </c>
      <c r="H27" s="15">
        <f>(H24-H18*H21)/(1-H18)</f>
        <v>6.718181818181819E-2</v>
      </c>
      <c r="I27" s="15">
        <f>(I24-I18*I21)/(1-I18)</f>
        <v>6.718181818181819E-2</v>
      </c>
      <c r="J27" s="15">
        <f>(J24-J18*J21)/(1-J18)</f>
        <v>6.718181818181819E-2</v>
      </c>
      <c r="K27" s="15">
        <f>(K24-K18*K21)/(1-K18)</f>
        <v>6.718181818181819E-2</v>
      </c>
      <c r="L27" s="15">
        <f>(L24-L18*L21)/(1-L18)</f>
        <v>6.718181818181819E-2</v>
      </c>
      <c r="M27" s="15">
        <f>(M24-M18*M21)/(1-M18)</f>
        <v>6.718181818181819E-2</v>
      </c>
      <c r="N27" s="28"/>
      <c r="O27" s="29"/>
    </row>
    <row r="28" spans="2:26" x14ac:dyDescent="0.25">
      <c r="C28" s="1" t="s">
        <v>68</v>
      </c>
      <c r="H28" s="31">
        <v>4.6899999999999997E-2</v>
      </c>
      <c r="I28" s="15">
        <f t="shared" si="1"/>
        <v>4.6899999999999997E-2</v>
      </c>
      <c r="J28" s="15">
        <f t="shared" si="1"/>
        <v>4.6899999999999997E-2</v>
      </c>
      <c r="K28" s="15">
        <f t="shared" si="1"/>
        <v>4.6899999999999997E-2</v>
      </c>
      <c r="L28" s="15">
        <f t="shared" si="1"/>
        <v>4.6899999999999997E-2</v>
      </c>
      <c r="M28" s="15">
        <f t="shared" si="1"/>
        <v>4.6899999999999997E-2</v>
      </c>
      <c r="N28" s="28"/>
      <c r="O28" s="29"/>
    </row>
    <row r="29" spans="2:26" x14ac:dyDescent="0.25">
      <c r="H29" s="31"/>
      <c r="I29" s="15"/>
      <c r="J29" s="15"/>
      <c r="K29" s="15"/>
      <c r="L29" s="15"/>
      <c r="M29" s="15"/>
      <c r="N29" s="28"/>
      <c r="O29" s="29"/>
    </row>
    <row r="30" spans="2:26" x14ac:dyDescent="0.25">
      <c r="B30" s="63" t="s">
        <v>89</v>
      </c>
      <c r="C30" s="62" t="s">
        <v>99</v>
      </c>
      <c r="D30" s="57"/>
      <c r="E30" s="57"/>
      <c r="F30" s="57"/>
      <c r="G30" s="57"/>
      <c r="H30" s="58"/>
      <c r="I30" s="59"/>
      <c r="J30" s="59"/>
      <c r="K30" s="59"/>
      <c r="L30" s="59"/>
      <c r="M30" s="59"/>
      <c r="N30" s="60"/>
      <c r="O30" s="61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</row>
    <row r="31" spans="2:26" x14ac:dyDescent="0.25">
      <c r="H31" s="31"/>
      <c r="I31" s="15"/>
      <c r="J31" s="15"/>
      <c r="K31" s="15"/>
      <c r="L31" s="15"/>
      <c r="M31" s="15"/>
      <c r="N31" s="28"/>
      <c r="O31" s="29"/>
    </row>
    <row r="32" spans="2:26" x14ac:dyDescent="0.25">
      <c r="H32" s="24">
        <f>$H$4</f>
        <v>2016</v>
      </c>
      <c r="I32" s="24">
        <f t="shared" ref="I32:M32" si="2">H32+1</f>
        <v>2017</v>
      </c>
      <c r="J32" s="24">
        <f t="shared" si="2"/>
        <v>2018</v>
      </c>
      <c r="K32" s="24">
        <f t="shared" si="2"/>
        <v>2019</v>
      </c>
      <c r="L32" s="24">
        <f t="shared" si="2"/>
        <v>2020</v>
      </c>
      <c r="M32" s="24">
        <f t="shared" si="2"/>
        <v>2021</v>
      </c>
    </row>
    <row r="34" spans="3:15" x14ac:dyDescent="0.25">
      <c r="C34" s="21" t="s">
        <v>51</v>
      </c>
      <c r="I34" s="2">
        <f>H38</f>
        <v>1469.0000000345221</v>
      </c>
      <c r="J34" s="2">
        <f t="shared" ref="J34:M34" si="3">I38</f>
        <v>2099.0001218057396</v>
      </c>
      <c r="K34" s="2">
        <f t="shared" si="3"/>
        <v>2174.0001218057396</v>
      </c>
      <c r="L34" s="2">
        <f t="shared" si="3"/>
        <v>2209.0001218057396</v>
      </c>
      <c r="M34" s="2">
        <f t="shared" si="3"/>
        <v>2244.0001218057396</v>
      </c>
    </row>
    <row r="35" spans="3:15" x14ac:dyDescent="0.25">
      <c r="C35" s="21" t="s">
        <v>53</v>
      </c>
      <c r="H35" s="2"/>
      <c r="I35" s="2">
        <f>'2016YE Plant in Service'!D9</f>
        <v>130</v>
      </c>
      <c r="J35" s="2">
        <f>'2016YE Plant in Service'!E9+'Addtl Plant in Service'!E9</f>
        <v>75</v>
      </c>
      <c r="K35" s="2">
        <f>'2016YE Plant in Service'!F9+'Addtl Plant in Service'!F9</f>
        <v>35</v>
      </c>
      <c r="L35" s="2">
        <f>'2016YE Plant in Service'!G9+'Addtl Plant in Service'!G9</f>
        <v>35</v>
      </c>
      <c r="M35" s="2">
        <f>'2016YE Plant in Service'!H9+'Addtl Plant in Service'!H9</f>
        <v>35</v>
      </c>
      <c r="N35" s="28"/>
      <c r="O35" s="29"/>
    </row>
    <row r="36" spans="3:15" x14ac:dyDescent="0.25">
      <c r="C36" s="21" t="s">
        <v>54</v>
      </c>
      <c r="H36" s="2"/>
      <c r="I36" s="22">
        <f>'Addtl Plant in Service'!C56</f>
        <v>500.00012177121744</v>
      </c>
      <c r="J36" s="2">
        <f>'Addtl Plant in Service'!E9</f>
        <v>0</v>
      </c>
      <c r="K36" s="2">
        <f>'Addtl Plant in Service'!F9</f>
        <v>0</v>
      </c>
      <c r="L36" s="2">
        <f>'Addtl Plant in Service'!G9</f>
        <v>0</v>
      </c>
      <c r="M36" s="2">
        <f>'Addtl Plant in Service'!H9</f>
        <v>0</v>
      </c>
      <c r="N36" s="28"/>
      <c r="O36" s="29"/>
    </row>
    <row r="37" spans="3:15" x14ac:dyDescent="0.25">
      <c r="C37" s="21" t="s">
        <v>62</v>
      </c>
      <c r="H37" s="2"/>
      <c r="I37" s="22"/>
      <c r="J37" s="2"/>
      <c r="K37" s="2"/>
      <c r="L37" s="2"/>
      <c r="M37" s="2"/>
      <c r="N37" s="28"/>
      <c r="O37" s="29"/>
    </row>
    <row r="38" spans="3:15" x14ac:dyDescent="0.25">
      <c r="C38" s="1" t="s">
        <v>52</v>
      </c>
      <c r="D38" s="1"/>
      <c r="E38" s="1"/>
      <c r="F38" s="1"/>
      <c r="G38" s="1"/>
      <c r="H38" s="23">
        <f>'2016YE Plant in Service'!C56</f>
        <v>1469.0000000345221</v>
      </c>
      <c r="I38" s="3">
        <f>SUM(I34:I37)</f>
        <v>2099.0001218057396</v>
      </c>
      <c r="J38" s="3">
        <f t="shared" ref="J38" si="4">SUM(J34:J37)</f>
        <v>2174.0001218057396</v>
      </c>
      <c r="K38" s="3">
        <f t="shared" ref="K38" si="5">SUM(K34:K37)</f>
        <v>2209.0001218057396</v>
      </c>
      <c r="L38" s="3">
        <f t="shared" ref="L38" si="6">SUM(L34:L37)</f>
        <v>2244.0001218057396</v>
      </c>
      <c r="M38" s="3">
        <f t="shared" ref="M38" si="7">SUM(M34:M37)</f>
        <v>2279.0001218057396</v>
      </c>
      <c r="N38" s="28"/>
      <c r="O38" s="29"/>
    </row>
    <row r="39" spans="3:15" x14ac:dyDescent="0.25">
      <c r="H39" s="2"/>
      <c r="I39" s="2"/>
      <c r="J39" s="2"/>
      <c r="K39" s="2"/>
      <c r="L39" s="2"/>
      <c r="M39" s="2"/>
      <c r="N39" s="30"/>
    </row>
    <row r="40" spans="3:15" x14ac:dyDescent="0.25">
      <c r="C40" t="s">
        <v>55</v>
      </c>
      <c r="H40" s="2"/>
      <c r="I40" s="2">
        <f>H44</f>
        <v>156.99874963995174</v>
      </c>
      <c r="J40" s="2">
        <f t="shared" ref="J40:M40" si="8">I44</f>
        <v>327.84276235044007</v>
      </c>
      <c r="K40" s="2">
        <f t="shared" si="8"/>
        <v>381.19623485950149</v>
      </c>
      <c r="L40" s="2">
        <f t="shared" si="8"/>
        <v>435.87763877194413</v>
      </c>
      <c r="M40" s="2">
        <f t="shared" si="8"/>
        <v>491.36213172518711</v>
      </c>
      <c r="N40" s="28"/>
      <c r="O40" s="29"/>
    </row>
    <row r="41" spans="3:15" x14ac:dyDescent="0.25">
      <c r="C41" s="21" t="s">
        <v>53</v>
      </c>
      <c r="H41" s="26">
        <v>37.256999999999998</v>
      </c>
      <c r="I41" s="2">
        <f>'2016YE Plant in Service'!M56-'2016YE Plant in Service'!L56</f>
        <v>38.34391969613219</v>
      </c>
      <c r="J41" s="2">
        <f>'2016YE Plant in Service'!N56-'2016YE Plant in Service'!M56</f>
        <v>40.853469464781</v>
      </c>
      <c r="K41" s="2">
        <f>'2016YE Plant in Service'!O56-'2016YE Plant in Service'!N56</f>
        <v>42.181400868162171</v>
      </c>
      <c r="L41" s="2">
        <f>'2016YE Plant in Service'!P56-'2016YE Plant in Service'!O56</f>
        <v>42.98448990896253</v>
      </c>
      <c r="M41" s="2">
        <f>'2016YE Plant in Service'!Q56-'2016YE Plant in Service'!P56</f>
        <v>43.711936889342269</v>
      </c>
      <c r="N41" s="28"/>
      <c r="O41" s="29"/>
    </row>
    <row r="42" spans="3:15" x14ac:dyDescent="0.25">
      <c r="C42" s="21" t="s">
        <v>54</v>
      </c>
      <c r="H42" s="2"/>
      <c r="I42" s="22">
        <f>'Addtl Plant in Service'!M56</f>
        <v>132.50009301435614</v>
      </c>
      <c r="J42" s="2">
        <f>'Addtl Plant in Service'!N56-'Addtl Plant in Service'!M56</f>
        <v>12.500003044280419</v>
      </c>
      <c r="K42" s="2">
        <f>'Addtl Plant in Service'!O56-'Addtl Plant in Service'!N56</f>
        <v>12.500003044280447</v>
      </c>
      <c r="L42" s="2">
        <f>'Addtl Plant in Service'!P56-'Addtl Plant in Service'!O56</f>
        <v>12.500003044280447</v>
      </c>
      <c r="M42" s="2">
        <f>'Addtl Plant in Service'!Q56-'Addtl Plant in Service'!P56</f>
        <v>12.500003044280419</v>
      </c>
      <c r="N42" s="28"/>
      <c r="O42" s="29"/>
    </row>
    <row r="43" spans="3:15" x14ac:dyDescent="0.25">
      <c r="C43" s="21" t="s">
        <v>62</v>
      </c>
      <c r="H43" s="2"/>
      <c r="I43" s="22"/>
      <c r="J43" s="2"/>
      <c r="K43" s="2"/>
      <c r="L43" s="2"/>
      <c r="M43" s="2"/>
      <c r="N43" s="28"/>
      <c r="O43" s="29"/>
    </row>
    <row r="44" spans="3:15" x14ac:dyDescent="0.25">
      <c r="C44" s="1" t="s">
        <v>56</v>
      </c>
      <c r="D44" s="1"/>
      <c r="E44" s="1"/>
      <c r="F44" s="1"/>
      <c r="G44" s="1"/>
      <c r="H44" s="23">
        <f>'2016YE Plant in Service'!L56</f>
        <v>156.99874963995174</v>
      </c>
      <c r="I44" s="3">
        <f>SUM(I40:I43)</f>
        <v>327.84276235044007</v>
      </c>
      <c r="J44" s="3">
        <f t="shared" ref="J44" si="9">SUM(J40:J43)</f>
        <v>381.19623485950149</v>
      </c>
      <c r="K44" s="3">
        <f t="shared" ref="K44" si="10">SUM(K40:K43)</f>
        <v>435.87763877194413</v>
      </c>
      <c r="L44" s="3">
        <f t="shared" ref="L44" si="11">SUM(L40:L43)</f>
        <v>491.36213172518711</v>
      </c>
      <c r="M44" s="3">
        <f t="shared" ref="M44" si="12">SUM(M40:M43)</f>
        <v>547.57407165880977</v>
      </c>
      <c r="N44" s="28"/>
      <c r="O44" s="29"/>
    </row>
    <row r="45" spans="3:15" x14ac:dyDescent="0.25">
      <c r="H45" s="2"/>
      <c r="I45" s="2"/>
      <c r="J45" s="2"/>
      <c r="K45" s="2"/>
      <c r="L45" s="2"/>
      <c r="M45" s="2"/>
      <c r="N45" s="28"/>
      <c r="O45" s="29"/>
    </row>
    <row r="46" spans="3:15" x14ac:dyDescent="0.25">
      <c r="C46" t="s">
        <v>57</v>
      </c>
      <c r="H46" s="2"/>
      <c r="I46" s="2">
        <f>H50</f>
        <v>101.14299974987433</v>
      </c>
      <c r="J46" s="2">
        <f t="shared" ref="J46:M46" si="13">I50</f>
        <v>261.38902987922506</v>
      </c>
      <c r="K46" s="2">
        <f t="shared" si="13"/>
        <v>285.25713764990456</v>
      </c>
      <c r="L46" s="2">
        <f t="shared" si="13"/>
        <v>314.96218694250831</v>
      </c>
      <c r="M46" s="2">
        <f t="shared" si="13"/>
        <v>336.97502820945897</v>
      </c>
    </row>
    <row r="47" spans="3:15" x14ac:dyDescent="0.25">
      <c r="C47" s="21" t="s">
        <v>53</v>
      </c>
      <c r="I47" s="2">
        <f>'2016YE Plant in Service'!AK16-'2016YE Plant in Service'!AJ16</f>
        <v>38.459857015520654</v>
      </c>
      <c r="J47" s="2">
        <f>'2016YE Plant in Service'!AL16-'2016YE Plant in Service'!AK16</f>
        <v>35.346060185390371</v>
      </c>
      <c r="K47" s="2">
        <f>'2016YE Plant in Service'!AM16-'2016YE Plant in Service'!AL16</f>
        <v>30.942970746213689</v>
      </c>
      <c r="L47" s="2">
        <f>'2016YE Plant in Service'!AN16-'2016YE Plant in Service'!AM16</f>
        <v>26.287945203273551</v>
      </c>
      <c r="M47" s="2">
        <f>'2016YE Plant in Service'!AO16-'2016YE Plant in Service'!AN16</f>
        <v>22.223512013970435</v>
      </c>
      <c r="N47" s="28"/>
      <c r="O47" s="29"/>
    </row>
    <row r="48" spans="3:15" x14ac:dyDescent="0.25">
      <c r="C48" s="21" t="s">
        <v>54</v>
      </c>
      <c r="I48" s="2">
        <f>'Addtl Plant in Service'!AK16</f>
        <v>121.78617311383009</v>
      </c>
      <c r="J48" s="2">
        <f>'Addtl Plant in Service'!AL16-'Addtl Plant in Service'!AK16</f>
        <v>-11.477952414710856</v>
      </c>
      <c r="K48" s="2">
        <f>'Addtl Plant in Service'!AM16-'Addtl Plant in Service'!AL16</f>
        <v>-1.2379214536099283</v>
      </c>
      <c r="L48" s="2">
        <f>'Addtl Plant in Service'!AN16-'Addtl Plant in Service'!AM16</f>
        <v>-4.2751039363229211</v>
      </c>
      <c r="M48" s="2">
        <f>'Addtl Plant in Service'!AO16-'Addtl Plant in Service'!AN16</f>
        <v>-4.1448802603401873</v>
      </c>
      <c r="N48" s="28"/>
      <c r="O48" s="29"/>
    </row>
    <row r="49" spans="3:15" x14ac:dyDescent="0.25">
      <c r="C49" s="21" t="s">
        <v>62</v>
      </c>
      <c r="I49" s="2"/>
      <c r="J49" s="2"/>
      <c r="K49" s="2"/>
      <c r="L49" s="2"/>
      <c r="M49" s="2"/>
      <c r="N49" s="28"/>
      <c r="O49" s="29"/>
    </row>
    <row r="50" spans="3:15" x14ac:dyDescent="0.25">
      <c r="C50" s="1" t="s">
        <v>58</v>
      </c>
      <c r="D50" s="1"/>
      <c r="E50" s="1"/>
      <c r="F50" s="1"/>
      <c r="G50" s="1"/>
      <c r="H50" s="23">
        <f>'2016YE Plant in Service'!AJ16</f>
        <v>101.14299974987433</v>
      </c>
      <c r="I50" s="3">
        <f>SUM(I46:I49)</f>
        <v>261.38902987922506</v>
      </c>
      <c r="J50" s="3">
        <f t="shared" ref="J50" si="14">SUM(J46:J49)</f>
        <v>285.25713764990456</v>
      </c>
      <c r="K50" s="3">
        <f t="shared" ref="K50" si="15">SUM(K46:K49)</f>
        <v>314.96218694250831</v>
      </c>
      <c r="L50" s="3">
        <f t="shared" ref="L50" si="16">SUM(L46:L49)</f>
        <v>336.97502820945897</v>
      </c>
      <c r="M50" s="3">
        <f t="shared" ref="M50" si="17">SUM(M46:M49)</f>
        <v>355.05365996308922</v>
      </c>
      <c r="N50" s="28"/>
      <c r="O50" s="29"/>
    </row>
    <row r="51" spans="3:15" x14ac:dyDescent="0.25">
      <c r="H51" s="2"/>
      <c r="I51" s="2"/>
      <c r="J51" s="2"/>
      <c r="K51" s="2"/>
      <c r="L51" s="2"/>
      <c r="M51" s="2"/>
      <c r="N51" s="28"/>
      <c r="O51" s="29"/>
    </row>
    <row r="52" spans="3:15" x14ac:dyDescent="0.25">
      <c r="C52" t="s">
        <v>59</v>
      </c>
      <c r="H52" s="2"/>
      <c r="I52" s="2">
        <f>H56</f>
        <v>56.657890000000002</v>
      </c>
      <c r="J52" s="2">
        <f t="shared" ref="J52:M52" si="18">I56</f>
        <v>72.805828681329075</v>
      </c>
      <c r="K52" s="2">
        <f t="shared" si="18"/>
        <v>72.805828681329075</v>
      </c>
      <c r="L52" s="2">
        <f t="shared" si="18"/>
        <v>72.805828681329075</v>
      </c>
      <c r="M52" s="2">
        <f t="shared" si="18"/>
        <v>72.805828681329075</v>
      </c>
    </row>
    <row r="53" spans="3:15" x14ac:dyDescent="0.25">
      <c r="C53" s="21" t="s">
        <v>53</v>
      </c>
      <c r="I53" s="2">
        <f>'2016YE Plant in Service'!AK21-'2016YE Plant in Service'!AJ21</f>
        <v>0</v>
      </c>
      <c r="J53" s="2">
        <f>'2016YE Plant in Service'!AL21-'2016YE Plant in Service'!AK21</f>
        <v>0</v>
      </c>
      <c r="K53" s="2">
        <f>'2016YE Plant in Service'!AM21-'2016YE Plant in Service'!AL21</f>
        <v>0</v>
      </c>
      <c r="L53" s="2">
        <f>'2016YE Plant in Service'!AN21-'2016YE Plant in Service'!AM21</f>
        <v>0</v>
      </c>
      <c r="M53" s="2">
        <f>'2016YE Plant in Service'!AO21-'2016YE Plant in Service'!AN21</f>
        <v>0</v>
      </c>
      <c r="N53" s="28"/>
      <c r="O53" s="29"/>
    </row>
    <row r="54" spans="3:15" x14ac:dyDescent="0.25">
      <c r="C54" s="21" t="s">
        <v>54</v>
      </c>
      <c r="I54" s="26">
        <f>I52*H10</f>
        <v>16.147938681329066</v>
      </c>
      <c r="J54" s="2">
        <f>'Addtl Plant in Service'!AL21-'Addtl Plant in Service'!AK21</f>
        <v>0</v>
      </c>
      <c r="K54" s="2">
        <f>'Addtl Plant in Service'!AM21-'Addtl Plant in Service'!AL21</f>
        <v>0</v>
      </c>
      <c r="L54" s="2">
        <f>'Addtl Plant in Service'!AN21-'Addtl Plant in Service'!AM21</f>
        <v>0</v>
      </c>
      <c r="M54" s="2">
        <f>'Addtl Plant in Service'!AO21-'Addtl Plant in Service'!AN21</f>
        <v>0</v>
      </c>
      <c r="N54" s="28"/>
      <c r="O54" s="29"/>
    </row>
    <row r="55" spans="3:15" x14ac:dyDescent="0.25">
      <c r="C55" s="21" t="s">
        <v>62</v>
      </c>
      <c r="I55" s="26"/>
      <c r="J55" s="2"/>
      <c r="K55" s="2"/>
      <c r="L55" s="2"/>
      <c r="M55" s="2"/>
      <c r="N55" s="28"/>
      <c r="O55" s="29"/>
    </row>
    <row r="56" spans="3:15" x14ac:dyDescent="0.25">
      <c r="C56" s="1" t="s">
        <v>60</v>
      </c>
      <c r="D56" s="1"/>
      <c r="E56" s="1"/>
      <c r="F56" s="1"/>
      <c r="G56" s="1"/>
      <c r="H56" s="25">
        <f>-0.834+6.505+2.10389+49.883-1</f>
        <v>56.657890000000002</v>
      </c>
      <c r="I56" s="3">
        <f>SUM(I52:I55)</f>
        <v>72.805828681329075</v>
      </c>
      <c r="J56" s="3">
        <f t="shared" ref="J56:M56" si="19">SUM(J52:J55)</f>
        <v>72.805828681329075</v>
      </c>
      <c r="K56" s="3">
        <f t="shared" si="19"/>
        <v>72.805828681329075</v>
      </c>
      <c r="L56" s="3">
        <f t="shared" si="19"/>
        <v>72.805828681329075</v>
      </c>
      <c r="M56" s="3">
        <f t="shared" si="19"/>
        <v>72.805828681329075</v>
      </c>
      <c r="N56" s="28"/>
      <c r="O56" s="29"/>
    </row>
    <row r="57" spans="3:15" x14ac:dyDescent="0.25">
      <c r="H57" s="2"/>
      <c r="I57" s="2"/>
      <c r="J57" s="2"/>
      <c r="K57" s="2"/>
      <c r="L57" s="2"/>
      <c r="M57" s="2"/>
      <c r="N57" s="28"/>
      <c r="O57" s="29"/>
    </row>
    <row r="58" spans="3:15" x14ac:dyDescent="0.25">
      <c r="C58" t="s">
        <v>77</v>
      </c>
      <c r="H58" s="2"/>
      <c r="I58" s="2">
        <f>H62</f>
        <v>1267.516140644696</v>
      </c>
      <c r="J58" s="2">
        <f t="shared" ref="J58:M58" si="20">I62</f>
        <v>1582.5741582574035</v>
      </c>
      <c r="K58" s="2">
        <f t="shared" si="20"/>
        <v>1580.3525779776626</v>
      </c>
      <c r="L58" s="2">
        <f t="shared" si="20"/>
        <v>1530.9661247726162</v>
      </c>
      <c r="M58" s="2">
        <f t="shared" si="20"/>
        <v>1488.4687905524227</v>
      </c>
    </row>
    <row r="59" spans="3:15" x14ac:dyDescent="0.25">
      <c r="C59" s="21" t="s">
        <v>53</v>
      </c>
      <c r="I59" s="2">
        <f>I35-I41-I47+I53</f>
        <v>53.196223288347156</v>
      </c>
      <c r="J59" s="2">
        <f t="shared" ref="J59:M59" si="21">J35-J41-J47+J53</f>
        <v>-1.199529650171371</v>
      </c>
      <c r="K59" s="2">
        <f t="shared" si="21"/>
        <v>-38.12437161437586</v>
      </c>
      <c r="L59" s="2">
        <f t="shared" si="21"/>
        <v>-34.272435112236082</v>
      </c>
      <c r="M59" s="2">
        <f t="shared" si="21"/>
        <v>-30.935448903312704</v>
      </c>
      <c r="N59" s="28"/>
      <c r="O59" s="29"/>
    </row>
    <row r="60" spans="3:15" x14ac:dyDescent="0.25">
      <c r="C60" s="21" t="s">
        <v>54</v>
      </c>
      <c r="I60" s="2">
        <f>I36-I42-I48+I54</f>
        <v>261.86179432436029</v>
      </c>
      <c r="J60" s="2">
        <f t="shared" ref="J60:M60" si="22">J36-J42-J48+J54</f>
        <v>-1.0220506295695628</v>
      </c>
      <c r="K60" s="2">
        <f t="shared" si="22"/>
        <v>-11.262081590670519</v>
      </c>
      <c r="L60" s="2">
        <f t="shared" si="22"/>
        <v>-8.2248991079575262</v>
      </c>
      <c r="M60" s="2">
        <f t="shared" si="22"/>
        <v>-8.3551227839402316</v>
      </c>
      <c r="N60" s="28"/>
      <c r="O60" s="29"/>
    </row>
    <row r="61" spans="3:15" x14ac:dyDescent="0.25">
      <c r="C61" s="21" t="s">
        <v>62</v>
      </c>
      <c r="I61" s="26"/>
      <c r="J61" s="2"/>
      <c r="K61" s="2"/>
      <c r="L61" s="2"/>
      <c r="M61" s="2"/>
      <c r="N61" s="28"/>
      <c r="O61" s="29"/>
    </row>
    <row r="62" spans="3:15" x14ac:dyDescent="0.25">
      <c r="C62" s="1" t="s">
        <v>78</v>
      </c>
      <c r="D62" s="1"/>
      <c r="E62" s="1"/>
      <c r="F62" s="1"/>
      <c r="G62" s="1"/>
      <c r="H62" s="3">
        <f>H38-H44-H50+H56</f>
        <v>1267.516140644696</v>
      </c>
      <c r="I62" s="3">
        <f>SUM(I58:I61)</f>
        <v>1582.5741582574035</v>
      </c>
      <c r="J62" s="3">
        <f t="shared" ref="J62" si="23">SUM(J58:J61)</f>
        <v>1580.3525779776626</v>
      </c>
      <c r="K62" s="3">
        <f t="shared" ref="K62" si="24">SUM(K58:K61)</f>
        <v>1530.9661247726162</v>
      </c>
      <c r="L62" s="3">
        <f t="shared" ref="L62" si="25">SUM(L58:L61)</f>
        <v>1488.4687905524227</v>
      </c>
      <c r="M62" s="3">
        <f t="shared" ref="M62" si="26">SUM(M58:M61)</f>
        <v>1449.1782188651696</v>
      </c>
      <c r="N62" s="28"/>
      <c r="O62" s="29"/>
    </row>
    <row r="64" spans="3:15" x14ac:dyDescent="0.25">
      <c r="C64" t="s">
        <v>82</v>
      </c>
      <c r="H64" s="2"/>
      <c r="I64" s="2">
        <f>H67</f>
        <v>46.127942873924034</v>
      </c>
      <c r="J64" s="2">
        <f t="shared" ref="J64:M64" si="27">I67</f>
        <v>58.476115147611068</v>
      </c>
      <c r="K64" s="2">
        <f t="shared" si="27"/>
        <v>58.394027756274646</v>
      </c>
      <c r="L64" s="2">
        <f t="shared" si="27"/>
        <v>56.569198310348177</v>
      </c>
      <c r="M64" s="2">
        <f t="shared" si="27"/>
        <v>54.99892181091203</v>
      </c>
    </row>
    <row r="65" spans="2:26" x14ac:dyDescent="0.25">
      <c r="C65" s="21" t="s">
        <v>86</v>
      </c>
      <c r="G65" s="40"/>
      <c r="I65" s="41">
        <f>I67-I64</f>
        <v>12.348172273687034</v>
      </c>
      <c r="J65" s="41">
        <f t="shared" ref="J65" si="28">J67-J64</f>
        <v>-8.2087391336422399E-2</v>
      </c>
      <c r="K65" s="41">
        <f t="shared" ref="K65" si="29">K67-K64</f>
        <v>-1.8248294459264685</v>
      </c>
      <c r="L65" s="41">
        <f t="shared" ref="L65" si="30">L67-L64</f>
        <v>-1.5702764994361473</v>
      </c>
      <c r="M65" s="41">
        <f t="shared" ref="M65" si="31">M67-M64</f>
        <v>-1.4517866238440078</v>
      </c>
      <c r="N65" s="28"/>
      <c r="O65" s="29"/>
    </row>
    <row r="66" spans="2:26" x14ac:dyDescent="0.25">
      <c r="C66" s="21" t="s">
        <v>62</v>
      </c>
      <c r="I66" s="26"/>
      <c r="J66" s="2"/>
      <c r="K66" s="2"/>
      <c r="L66" s="2"/>
      <c r="M66" s="2"/>
    </row>
    <row r="67" spans="2:26" x14ac:dyDescent="0.25">
      <c r="C67" s="1" t="s">
        <v>83</v>
      </c>
      <c r="D67" s="1"/>
      <c r="E67" s="1"/>
      <c r="F67" s="1"/>
      <c r="G67" s="1"/>
      <c r="H67" s="43">
        <f>H$62*(1-H$19)*H$27</f>
        <v>46.127942873924034</v>
      </c>
      <c r="I67" s="43">
        <f t="shared" ref="I67:M67" si="32">I$62*(1-I$19)*I$27</f>
        <v>58.476115147611068</v>
      </c>
      <c r="J67" s="43">
        <f t="shared" si="32"/>
        <v>58.394027756274646</v>
      </c>
      <c r="K67" s="43">
        <f t="shared" si="32"/>
        <v>56.569198310348177</v>
      </c>
      <c r="L67" s="43">
        <f t="shared" si="32"/>
        <v>54.99892181091203</v>
      </c>
      <c r="M67" s="43">
        <f t="shared" si="32"/>
        <v>53.547135187068022</v>
      </c>
      <c r="N67" s="28"/>
      <c r="O67" s="29"/>
    </row>
    <row r="69" spans="2:26" x14ac:dyDescent="0.25">
      <c r="B69" s="63" t="s">
        <v>89</v>
      </c>
      <c r="C69" s="62" t="s">
        <v>100</v>
      </c>
      <c r="D69" s="57"/>
      <c r="E69" s="57"/>
      <c r="F69" s="57"/>
      <c r="G69" s="57"/>
      <c r="H69" s="58"/>
      <c r="I69" s="59"/>
      <c r="J69" s="59"/>
      <c r="K69" s="59"/>
      <c r="L69" s="59"/>
      <c r="M69" s="59"/>
      <c r="N69" s="60"/>
      <c r="O69" s="61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</row>
    <row r="71" spans="2:26" x14ac:dyDescent="0.25">
      <c r="H71" s="24">
        <f>$H$4</f>
        <v>2016</v>
      </c>
      <c r="I71" s="24">
        <f t="shared" ref="I71:M71" si="33">H71+1</f>
        <v>2017</v>
      </c>
      <c r="J71" s="24">
        <f t="shared" si="33"/>
        <v>2018</v>
      </c>
      <c r="K71" s="24">
        <f t="shared" si="33"/>
        <v>2019</v>
      </c>
      <c r="L71" s="24">
        <f t="shared" si="33"/>
        <v>2020</v>
      </c>
      <c r="M71" s="24">
        <f t="shared" si="33"/>
        <v>2021</v>
      </c>
    </row>
    <row r="73" spans="2:26" x14ac:dyDescent="0.25">
      <c r="C73" t="s">
        <v>72</v>
      </c>
      <c r="H73" s="2"/>
      <c r="I73" s="2">
        <f>H78</f>
        <v>20.239000000000001</v>
      </c>
      <c r="J73" s="2">
        <f t="shared" ref="J73:M73" si="34">I78</f>
        <v>26.412052185417053</v>
      </c>
      <c r="K73" s="2">
        <f t="shared" si="34"/>
        <v>26.940293229125395</v>
      </c>
      <c r="L73" s="2">
        <f t="shared" si="34"/>
        <v>27.479099093707902</v>
      </c>
      <c r="M73" s="2">
        <f t="shared" si="34"/>
        <v>28.02868107558206</v>
      </c>
    </row>
    <row r="74" spans="2:26" x14ac:dyDescent="0.25">
      <c r="C74" s="21" t="s">
        <v>69</v>
      </c>
      <c r="I74" s="35">
        <v>0</v>
      </c>
      <c r="J74" s="35">
        <v>0</v>
      </c>
      <c r="K74" s="35">
        <v>0</v>
      </c>
      <c r="L74" s="35">
        <v>0</v>
      </c>
      <c r="M74" s="35">
        <v>0</v>
      </c>
      <c r="N74" s="28"/>
      <c r="O74" s="29"/>
    </row>
    <row r="75" spans="2:26" x14ac:dyDescent="0.25">
      <c r="C75" s="21" t="s">
        <v>70</v>
      </c>
      <c r="I75" s="35">
        <f>I73*$H$9</f>
        <v>0.40478000000000003</v>
      </c>
      <c r="J75" s="35">
        <f>J73*$H$9</f>
        <v>0.52824104370834113</v>
      </c>
      <c r="K75" s="35">
        <f>K73*$H$9</f>
        <v>0.5388058645825079</v>
      </c>
      <c r="L75" s="35">
        <f>L73*$H$9</f>
        <v>0.54958198187415808</v>
      </c>
      <c r="M75" s="35">
        <f>M73*$H$9</f>
        <v>0.56057362151164125</v>
      </c>
      <c r="N75" s="28"/>
      <c r="O75" s="29"/>
    </row>
    <row r="76" spans="2:26" x14ac:dyDescent="0.25">
      <c r="C76" s="21" t="s">
        <v>71</v>
      </c>
      <c r="I76" s="36">
        <f>I73*H$10</f>
        <v>5.768272185417052</v>
      </c>
      <c r="J76" s="35">
        <f>'Addtl Plant in Service'!AL27-'Addtl Plant in Service'!AK27</f>
        <v>0</v>
      </c>
      <c r="K76" s="35">
        <f>'Addtl Plant in Service'!AM27-'Addtl Plant in Service'!AL27</f>
        <v>0</v>
      </c>
      <c r="L76" s="35">
        <f>'Addtl Plant in Service'!AN27-'Addtl Plant in Service'!AM27</f>
        <v>0</v>
      </c>
      <c r="M76" s="35">
        <f>'Addtl Plant in Service'!AO27-'Addtl Plant in Service'!AN27</f>
        <v>0</v>
      </c>
      <c r="N76" s="28"/>
      <c r="O76" s="29"/>
    </row>
    <row r="77" spans="2:26" x14ac:dyDescent="0.25">
      <c r="C77" s="21" t="s">
        <v>62</v>
      </c>
      <c r="I77" s="26"/>
      <c r="J77" s="2"/>
      <c r="K77" s="2"/>
      <c r="L77" s="2"/>
      <c r="M77" s="2"/>
    </row>
    <row r="78" spans="2:26" x14ac:dyDescent="0.25">
      <c r="C78" s="1" t="s">
        <v>73</v>
      </c>
      <c r="D78" s="1"/>
      <c r="E78" s="1"/>
      <c r="F78" s="1"/>
      <c r="G78" s="1"/>
      <c r="H78" s="25">
        <v>20.239000000000001</v>
      </c>
      <c r="I78" s="3">
        <f>SUM(I73:I77)</f>
        <v>26.412052185417053</v>
      </c>
      <c r="J78" s="3">
        <f t="shared" ref="J78" si="35">SUM(J73:J77)</f>
        <v>26.940293229125395</v>
      </c>
      <c r="K78" s="3">
        <f t="shared" ref="K78" si="36">SUM(K73:K77)</f>
        <v>27.479099093707902</v>
      </c>
      <c r="L78" s="3">
        <f t="shared" ref="L78" si="37">SUM(L73:L77)</f>
        <v>28.02868107558206</v>
      </c>
      <c r="M78" s="3">
        <f t="shared" ref="M78" si="38">SUM(M73:M77)</f>
        <v>28.5892546970937</v>
      </c>
      <c r="N78" s="28"/>
      <c r="O78" s="29"/>
    </row>
    <row r="80" spans="2:26" x14ac:dyDescent="0.25">
      <c r="C80" t="s">
        <v>74</v>
      </c>
      <c r="H80" s="2"/>
      <c r="I80" s="2">
        <f>H83</f>
        <v>0.68899999999999995</v>
      </c>
      <c r="J80" s="2">
        <f t="shared" ref="J80:M80" si="39">I83</f>
        <v>0.88537035109206719</v>
      </c>
      <c r="K80" s="2">
        <f t="shared" si="39"/>
        <v>0.88537035109206719</v>
      </c>
      <c r="L80" s="2">
        <f t="shared" si="39"/>
        <v>0.88537035109206719</v>
      </c>
      <c r="M80" s="2">
        <f t="shared" si="39"/>
        <v>0.88537035109206719</v>
      </c>
    </row>
    <row r="81" spans="3:15" x14ac:dyDescent="0.25">
      <c r="C81" s="21" t="s">
        <v>71</v>
      </c>
      <c r="I81" s="37">
        <f>I80*H$10</f>
        <v>0.19637035109206724</v>
      </c>
      <c r="J81" s="2">
        <f>'Addtl Plant in Service'!AL34-'Addtl Plant in Service'!AK34</f>
        <v>0</v>
      </c>
      <c r="K81" s="2">
        <f>'Addtl Plant in Service'!AM34-'Addtl Plant in Service'!AL34</f>
        <v>0</v>
      </c>
      <c r="L81" s="2">
        <f>'Addtl Plant in Service'!AN34-'Addtl Plant in Service'!AM34</f>
        <v>0</v>
      </c>
      <c r="M81" s="2">
        <f>'Addtl Plant in Service'!AO34-'Addtl Plant in Service'!AN34</f>
        <v>0</v>
      </c>
      <c r="N81" s="28"/>
      <c r="O81" s="29"/>
    </row>
    <row r="82" spans="3:15" x14ac:dyDescent="0.25">
      <c r="C82" s="21" t="s">
        <v>62</v>
      </c>
      <c r="I82" s="26"/>
      <c r="J82" s="2"/>
      <c r="K82" s="2"/>
      <c r="L82" s="2"/>
      <c r="M82" s="2"/>
    </row>
    <row r="83" spans="3:15" x14ac:dyDescent="0.25">
      <c r="C83" s="1" t="s">
        <v>31</v>
      </c>
      <c r="D83" s="1"/>
      <c r="E83" s="1"/>
      <c r="F83" s="1"/>
      <c r="G83" s="1"/>
      <c r="H83" s="25">
        <v>0.68899999999999995</v>
      </c>
      <c r="I83" s="3">
        <f>SUM(I80:I82)</f>
        <v>0.88537035109206719</v>
      </c>
      <c r="J83" s="3">
        <f>SUM(J80:J82)</f>
        <v>0.88537035109206719</v>
      </c>
      <c r="K83" s="3">
        <f>SUM(K80:K82)</f>
        <v>0.88537035109206719</v>
      </c>
      <c r="L83" s="3">
        <f>SUM(L80:L82)</f>
        <v>0.88537035109206719</v>
      </c>
      <c r="M83" s="3">
        <f>SUM(M80:M82)</f>
        <v>0.88537035109206719</v>
      </c>
      <c r="N83" s="28"/>
      <c r="O83" s="29"/>
    </row>
    <row r="85" spans="3:15" x14ac:dyDescent="0.25">
      <c r="C85" s="21" t="s">
        <v>96</v>
      </c>
      <c r="I85" s="35">
        <f>'2016YE Plant in Service'!M56-'2016YE Plant in Service'!L56</f>
        <v>38.34391969613219</v>
      </c>
      <c r="J85" s="35">
        <f>'2016YE Plant in Service'!N56-'2016YE Plant in Service'!M56</f>
        <v>40.853469464781</v>
      </c>
      <c r="K85" s="35">
        <f>'2016YE Plant in Service'!O56-'2016YE Plant in Service'!N56</f>
        <v>42.181400868162171</v>
      </c>
      <c r="L85" s="35">
        <f>'2016YE Plant in Service'!P56-'2016YE Plant in Service'!O56</f>
        <v>42.98448990896253</v>
      </c>
      <c r="M85" s="35">
        <f>'2016YE Plant in Service'!Q56-'2016YE Plant in Service'!P56</f>
        <v>43.711936889342269</v>
      </c>
      <c r="N85" s="28"/>
      <c r="O85" s="29"/>
    </row>
    <row r="86" spans="3:15" x14ac:dyDescent="0.25">
      <c r="C86" s="21" t="s">
        <v>97</v>
      </c>
      <c r="I86" s="35">
        <f>'Addtl Plant in Service'!M56-'Addtl Plant in Service'!L56</f>
        <v>12.500003044280461</v>
      </c>
      <c r="J86" s="35">
        <f>'Addtl Plant in Service'!N56-'Addtl Plant in Service'!M56</f>
        <v>12.500003044280419</v>
      </c>
      <c r="K86" s="35">
        <f>'Addtl Plant in Service'!O56-'Addtl Plant in Service'!N56</f>
        <v>12.500003044280447</v>
      </c>
      <c r="L86" s="35">
        <f>'Addtl Plant in Service'!P56-'Addtl Plant in Service'!O56</f>
        <v>12.500003044280447</v>
      </c>
      <c r="M86" s="35">
        <f>'Addtl Plant in Service'!Q56-'Addtl Plant in Service'!P56</f>
        <v>12.500003044280419</v>
      </c>
      <c r="N86" s="28"/>
      <c r="O86" s="29"/>
    </row>
    <row r="87" spans="3:15" x14ac:dyDescent="0.25">
      <c r="C87" s="21" t="s">
        <v>62</v>
      </c>
      <c r="I87" s="26"/>
      <c r="J87" s="2"/>
      <c r="K87" s="2"/>
      <c r="L87" s="2"/>
      <c r="M87" s="2"/>
    </row>
    <row r="88" spans="3:15" x14ac:dyDescent="0.25">
      <c r="C88" s="1" t="s">
        <v>30</v>
      </c>
      <c r="D88" s="1"/>
      <c r="E88" s="1"/>
      <c r="F88" s="1"/>
      <c r="G88" s="1"/>
      <c r="H88" s="25">
        <f>22.67</f>
        <v>22.67</v>
      </c>
      <c r="I88" s="3">
        <f>SUM(I85:I87)</f>
        <v>50.843922740412651</v>
      </c>
      <c r="J88" s="3">
        <f>SUM(J85:J87)</f>
        <v>53.353472509061419</v>
      </c>
      <c r="K88" s="3">
        <f>SUM(K85:K87)</f>
        <v>54.681403912442619</v>
      </c>
      <c r="L88" s="3">
        <f>SUM(L85:L87)</f>
        <v>55.484492953242977</v>
      </c>
      <c r="M88" s="3">
        <f>SUM(M85:M87)</f>
        <v>56.211939933622688</v>
      </c>
      <c r="N88" s="28"/>
      <c r="O88" s="38"/>
    </row>
    <row r="90" spans="3:15" x14ac:dyDescent="0.25">
      <c r="C90" t="s">
        <v>75</v>
      </c>
      <c r="H90" s="2"/>
      <c r="I90" s="2">
        <f>H95</f>
        <v>22.67</v>
      </c>
      <c r="J90" s="2">
        <f t="shared" ref="J90:M90" si="40">I95</f>
        <v>30.879908670787913</v>
      </c>
      <c r="K90" s="2">
        <f t="shared" si="40"/>
        <v>31.332270178970596</v>
      </c>
      <c r="L90" s="2">
        <f t="shared" si="40"/>
        <v>31.557468714080692</v>
      </c>
      <c r="M90" s="2">
        <f t="shared" si="40"/>
        <v>31.811833689046338</v>
      </c>
    </row>
    <row r="91" spans="3:15" x14ac:dyDescent="0.25">
      <c r="C91" s="21" t="s">
        <v>81</v>
      </c>
      <c r="G91" s="40">
        <v>0.25</v>
      </c>
      <c r="I91" s="35">
        <f>I90*$G91*SUM(I$59:I$61)/I$58</f>
        <v>1.4087326051026186</v>
      </c>
      <c r="J91" s="35">
        <f t="shared" ref="J91:M91" si="41">J90*$G91*SUM(J$59:J$61)/J$58</f>
        <v>-1.0837121879135575E-2</v>
      </c>
      <c r="K91" s="35">
        <f t="shared" si="41"/>
        <v>-0.24478551757446385</v>
      </c>
      <c r="L91" s="35">
        <f t="shared" si="41"/>
        <v>-0.21899705574556327</v>
      </c>
      <c r="M91" s="35">
        <f t="shared" si="41"/>
        <v>-0.20993136369331594</v>
      </c>
      <c r="N91" s="28"/>
      <c r="O91" s="29"/>
    </row>
    <row r="92" spans="3:15" x14ac:dyDescent="0.25">
      <c r="C92" s="21" t="s">
        <v>70</v>
      </c>
      <c r="G92" s="39">
        <f>1-G91</f>
        <v>0.75</v>
      </c>
      <c r="I92" s="35">
        <f>I90*$H$9*$G$92</f>
        <v>0.34005000000000002</v>
      </c>
      <c r="J92" s="35">
        <f>J90*$H$9*$G$92</f>
        <v>0.46319863006181872</v>
      </c>
      <c r="K92" s="35">
        <f>K90*$H$9*$G$92</f>
        <v>0.4699840526845589</v>
      </c>
      <c r="L92" s="35">
        <f>L90*$H$9*$G$92</f>
        <v>0.47336203071121041</v>
      </c>
      <c r="M92" s="35">
        <f>M90*$H$9*$G$92</f>
        <v>0.47717750533569503</v>
      </c>
      <c r="N92" s="28"/>
      <c r="O92" s="29"/>
    </row>
    <row r="93" spans="3:15" x14ac:dyDescent="0.25">
      <c r="C93" s="21" t="s">
        <v>71</v>
      </c>
      <c r="I93" s="36">
        <f>I90*H10</f>
        <v>6.4611260656852902</v>
      </c>
      <c r="J93" s="35">
        <f>'Addtl Plant in Service'!AL39-'Addtl Plant in Service'!AK39</f>
        <v>0</v>
      </c>
      <c r="K93" s="35">
        <f>'Addtl Plant in Service'!AM39-'Addtl Plant in Service'!AL39</f>
        <v>0</v>
      </c>
      <c r="L93" s="35">
        <f>'Addtl Plant in Service'!AN39-'Addtl Plant in Service'!AM39</f>
        <v>0</v>
      </c>
      <c r="M93" s="35">
        <f>'Addtl Plant in Service'!AO39-'Addtl Plant in Service'!AN39</f>
        <v>0</v>
      </c>
      <c r="N93" s="28"/>
      <c r="O93" s="29"/>
    </row>
    <row r="94" spans="3:15" x14ac:dyDescent="0.25">
      <c r="C94" s="21" t="s">
        <v>62</v>
      </c>
      <c r="I94" s="26"/>
      <c r="J94" s="2"/>
      <c r="K94" s="2"/>
      <c r="L94" s="2"/>
      <c r="M94" s="2"/>
    </row>
    <row r="95" spans="3:15" x14ac:dyDescent="0.25">
      <c r="C95" s="1" t="s">
        <v>76</v>
      </c>
      <c r="D95" s="1"/>
      <c r="E95" s="1"/>
      <c r="F95" s="1"/>
      <c r="G95" s="1"/>
      <c r="H95" s="25">
        <f>22.67</f>
        <v>22.67</v>
      </c>
      <c r="I95" s="3">
        <f>SUM(I90:I94)</f>
        <v>30.879908670787913</v>
      </c>
      <c r="J95" s="3">
        <f t="shared" ref="J95" si="42">SUM(J90:J94)</f>
        <v>31.332270178970596</v>
      </c>
      <c r="K95" s="3">
        <f t="shared" ref="K95" si="43">SUM(K90:K94)</f>
        <v>31.557468714080692</v>
      </c>
      <c r="L95" s="3">
        <f t="shared" ref="L95" si="44">SUM(L90:L94)</f>
        <v>31.811833689046338</v>
      </c>
      <c r="M95" s="3">
        <f t="shared" ref="M95" si="45">SUM(M90:M94)</f>
        <v>32.07907983068872</v>
      </c>
      <c r="N95" s="28"/>
      <c r="O95" s="38"/>
    </row>
    <row r="97" spans="2:26" x14ac:dyDescent="0.25">
      <c r="C97" t="s">
        <v>79</v>
      </c>
      <c r="H97" s="2"/>
      <c r="I97" s="2">
        <f>H101</f>
        <v>25.457999999999998</v>
      </c>
      <c r="J97" s="2">
        <f t="shared" ref="J97:M97" si="46">I101</f>
        <v>33.782171274483233</v>
      </c>
      <c r="K97" s="2">
        <f t="shared" si="46"/>
        <v>33.734681994840166</v>
      </c>
      <c r="L97" s="2">
        <f t="shared" si="46"/>
        <v>32.646456548981433</v>
      </c>
      <c r="M97" s="2">
        <f t="shared" si="46"/>
        <v>31.714366213011282</v>
      </c>
    </row>
    <row r="98" spans="2:26" x14ac:dyDescent="0.25">
      <c r="C98" s="21" t="s">
        <v>69</v>
      </c>
      <c r="G98" s="40"/>
      <c r="I98" s="35">
        <f>I97*SUM(I59)/I58</f>
        <v>1.0684435559029022</v>
      </c>
      <c r="J98" s="35">
        <f>J97*SUM(J59:J61)/J62</f>
        <v>-4.7489279643066706E-2</v>
      </c>
      <c r="K98" s="35">
        <f>K97*SUM(K59:K61)/K62</f>
        <v>-1.0882254458587313</v>
      </c>
      <c r="L98" s="35">
        <f>L97*SUM(L59:L61)/L62</f>
        <v>-0.93209033597015123</v>
      </c>
      <c r="M98" s="35">
        <f>M97*SUM(M59:M61)/M62</f>
        <v>-0.85984978451021432</v>
      </c>
      <c r="N98" s="28"/>
      <c r="O98" s="29"/>
    </row>
    <row r="99" spans="2:26" x14ac:dyDescent="0.25">
      <c r="C99" s="21" t="s">
        <v>71</v>
      </c>
      <c r="I99" s="36">
        <f>I97*H10</f>
        <v>7.2557277185803306</v>
      </c>
      <c r="J99" s="35">
        <f>'Addtl Plant in Service'!AL46-'Addtl Plant in Service'!AK46</f>
        <v>0</v>
      </c>
      <c r="K99" s="35">
        <f>'Addtl Plant in Service'!AM46-'Addtl Plant in Service'!AL46</f>
        <v>0</v>
      </c>
      <c r="L99" s="35">
        <f>'Addtl Plant in Service'!AN46-'Addtl Plant in Service'!AM46</f>
        <v>0</v>
      </c>
      <c r="M99" s="35">
        <f>'Addtl Plant in Service'!AO46-'Addtl Plant in Service'!AN46</f>
        <v>0</v>
      </c>
      <c r="N99" s="28"/>
      <c r="O99" s="29"/>
    </row>
    <row r="100" spans="2:26" x14ac:dyDescent="0.25">
      <c r="C100" s="21" t="s">
        <v>62</v>
      </c>
      <c r="I100" s="26"/>
      <c r="J100" s="2"/>
      <c r="K100" s="2"/>
      <c r="L100" s="2"/>
      <c r="M100" s="2"/>
    </row>
    <row r="101" spans="2:26" x14ac:dyDescent="0.25">
      <c r="C101" s="1" t="s">
        <v>80</v>
      </c>
      <c r="D101" s="1"/>
      <c r="E101" s="1"/>
      <c r="F101" s="1"/>
      <c r="G101" s="1"/>
      <c r="H101" s="25">
        <v>25.457999999999998</v>
      </c>
      <c r="I101" s="3">
        <f>SUM(I97:I100)</f>
        <v>33.782171274483233</v>
      </c>
      <c r="J101" s="3">
        <f>SUM(J97:J100)</f>
        <v>33.734681994840166</v>
      </c>
      <c r="K101" s="3">
        <f>SUM(K97:K100)</f>
        <v>32.646456548981433</v>
      </c>
      <c r="L101" s="3">
        <f>SUM(L97:L100)</f>
        <v>31.714366213011282</v>
      </c>
      <c r="M101" s="3">
        <f>SUM(M97:M100)</f>
        <v>30.854516428501068</v>
      </c>
      <c r="N101" s="28"/>
      <c r="O101" s="29"/>
    </row>
    <row r="103" spans="2:26" x14ac:dyDescent="0.25">
      <c r="C103" t="s">
        <v>82</v>
      </c>
      <c r="H103" s="2"/>
      <c r="I103" s="2">
        <f>H106</f>
        <v>32.20217283986117</v>
      </c>
      <c r="J103" s="2">
        <f t="shared" ref="J103:M103" si="47">I106</f>
        <v>40.822500412249724</v>
      </c>
      <c r="K103" s="2">
        <f t="shared" si="47"/>
        <v>40.765194748933808</v>
      </c>
      <c r="L103" s="2">
        <f t="shared" si="47"/>
        <v>39.491271188509636</v>
      </c>
      <c r="M103" s="2">
        <f t="shared" si="47"/>
        <v>38.395052452299744</v>
      </c>
    </row>
    <row r="104" spans="2:26" x14ac:dyDescent="0.25">
      <c r="C104" s="21" t="s">
        <v>86</v>
      </c>
      <c r="G104" s="40"/>
      <c r="I104" s="41">
        <f>I106-I103</f>
        <v>8.620327572388554</v>
      </c>
      <c r="J104" s="41">
        <f t="shared" ref="J104:M104" si="48">J106-J103</f>
        <v>-5.7305663315915467E-2</v>
      </c>
      <c r="K104" s="41">
        <f t="shared" si="48"/>
        <v>-1.2739235604241728</v>
      </c>
      <c r="L104" s="41">
        <f t="shared" si="48"/>
        <v>-1.0962187362098916</v>
      </c>
      <c r="M104" s="41">
        <f t="shared" si="48"/>
        <v>-1.0135002966726958</v>
      </c>
      <c r="N104" s="28"/>
      <c r="O104" s="29"/>
    </row>
    <row r="105" spans="2:26" x14ac:dyDescent="0.25">
      <c r="C105" s="21" t="s">
        <v>62</v>
      </c>
      <c r="I105" s="26"/>
      <c r="J105" s="2"/>
      <c r="K105" s="2"/>
      <c r="L105" s="2"/>
      <c r="M105" s="2"/>
    </row>
    <row r="106" spans="2:26" x14ac:dyDescent="0.25">
      <c r="C106" s="1" t="s">
        <v>83</v>
      </c>
      <c r="D106" s="1"/>
      <c r="E106" s="1"/>
      <c r="F106" s="1"/>
      <c r="G106" s="1"/>
      <c r="H106" s="43">
        <f>H$62*(1-H$19)*H$28</f>
        <v>32.20217283986117</v>
      </c>
      <c r="I106" s="43">
        <f t="shared" ref="I106:M106" si="49">I$62*(1-I$19)*I$28</f>
        <v>40.822500412249724</v>
      </c>
      <c r="J106" s="43">
        <f t="shared" si="49"/>
        <v>40.765194748933808</v>
      </c>
      <c r="K106" s="43">
        <f t="shared" si="49"/>
        <v>39.491271188509636</v>
      </c>
      <c r="L106" s="43">
        <f t="shared" si="49"/>
        <v>38.395052452299744</v>
      </c>
      <c r="M106" s="43">
        <f t="shared" si="49"/>
        <v>37.381552155627048</v>
      </c>
      <c r="N106" s="28"/>
      <c r="O106" s="29"/>
    </row>
    <row r="108" spans="2:26" x14ac:dyDescent="0.25">
      <c r="B108" s="63" t="s">
        <v>89</v>
      </c>
      <c r="C108" s="62" t="s">
        <v>109</v>
      </c>
      <c r="D108" s="57"/>
      <c r="E108" s="57"/>
      <c r="F108" s="57"/>
      <c r="G108" s="57"/>
      <c r="H108" s="58"/>
      <c r="I108" s="59"/>
      <c r="J108" s="59"/>
      <c r="K108" s="59"/>
      <c r="L108" s="59"/>
      <c r="M108" s="59"/>
      <c r="N108" s="60"/>
      <c r="O108" s="61"/>
      <c r="P108" s="57"/>
      <c r="Q108" s="57"/>
      <c r="R108" s="57"/>
      <c r="S108" s="57"/>
      <c r="T108" s="57"/>
      <c r="U108" s="57"/>
      <c r="V108" s="57"/>
      <c r="W108" s="57"/>
      <c r="X108" s="57"/>
      <c r="Y108" s="57"/>
      <c r="Z108" s="57"/>
    </row>
    <row r="110" spans="2:26" x14ac:dyDescent="0.25">
      <c r="H110" s="24">
        <f>$H$4</f>
        <v>2016</v>
      </c>
      <c r="I110" s="24">
        <f t="shared" ref="I110:M110" si="50">H110+1</f>
        <v>2017</v>
      </c>
      <c r="J110" s="24">
        <f t="shared" si="50"/>
        <v>2018</v>
      </c>
      <c r="K110" s="24">
        <f t="shared" si="50"/>
        <v>2019</v>
      </c>
      <c r="L110" s="24">
        <f t="shared" si="50"/>
        <v>2020</v>
      </c>
      <c r="M110" s="24">
        <f t="shared" si="50"/>
        <v>2021</v>
      </c>
    </row>
    <row r="112" spans="2:26" x14ac:dyDescent="0.25">
      <c r="C112" t="s">
        <v>95</v>
      </c>
      <c r="H112" s="44">
        <v>0</v>
      </c>
      <c r="I112" s="44">
        <v>0</v>
      </c>
      <c r="J112" s="44">
        <v>0</v>
      </c>
      <c r="K112" s="44">
        <v>0</v>
      </c>
      <c r="L112" s="44">
        <v>0</v>
      </c>
      <c r="M112" s="44">
        <v>0</v>
      </c>
    </row>
    <row r="114" spans="3:15" x14ac:dyDescent="0.25">
      <c r="C114" t="s">
        <v>77</v>
      </c>
      <c r="H114" s="2"/>
      <c r="I114" s="2">
        <f>H118</f>
        <v>1299</v>
      </c>
      <c r="J114" s="2">
        <f t="shared" ref="J114:M114" si="51">I118</f>
        <v>1555.9760466132298</v>
      </c>
      <c r="K114" s="2">
        <f t="shared" si="51"/>
        <v>1581.463368117533</v>
      </c>
      <c r="L114" s="2">
        <f t="shared" si="51"/>
        <v>1555.6593513751395</v>
      </c>
      <c r="M114" s="2">
        <f t="shared" si="51"/>
        <v>1509.7174576625193</v>
      </c>
    </row>
    <row r="115" spans="3:15" x14ac:dyDescent="0.25">
      <c r="C115" s="21" t="s">
        <v>93</v>
      </c>
      <c r="I115" s="41">
        <f>SUM(I58:I59)*$H$11+H62*(1-$H$11)-I114</f>
        <v>-4.8857477111305343</v>
      </c>
      <c r="J115" s="41">
        <f>SUM(J58:J61)*$H$11+I62*(1-$H$11)-J114</f>
        <v>25.487321504303281</v>
      </c>
      <c r="K115" s="41">
        <f>SUM(K58:K60)*$H$11+J62*(1-$H$11)-K114</f>
        <v>-25.804016742393515</v>
      </c>
      <c r="L115" s="41">
        <f>SUM(L58:L60)*$H$11+K62*(1-$H$11)-L114</f>
        <v>-45.941893712620185</v>
      </c>
      <c r="M115" s="41">
        <f>SUM(M58:M60)*$H$11+L62*(1-$H$11)-M114</f>
        <v>-40.893952953723328</v>
      </c>
      <c r="N115" s="28"/>
      <c r="O115" s="38"/>
    </row>
    <row r="116" spans="3:15" x14ac:dyDescent="0.25">
      <c r="C116" s="21" t="s">
        <v>71</v>
      </c>
      <c r="I116" s="36">
        <f>I60</f>
        <v>261.86179432436029</v>
      </c>
      <c r="J116" s="35">
        <f>'Addtl Plant in Service'!AL53-'Addtl Plant in Service'!AK53</f>
        <v>0</v>
      </c>
      <c r="K116" s="35">
        <f>'Addtl Plant in Service'!AM53-'Addtl Plant in Service'!AL53</f>
        <v>0</v>
      </c>
      <c r="L116" s="35">
        <f>'Addtl Plant in Service'!AN53-'Addtl Plant in Service'!AM53</f>
        <v>0</v>
      </c>
      <c r="M116" s="35">
        <f>'Addtl Plant in Service'!AO53-'Addtl Plant in Service'!AN53</f>
        <v>0</v>
      </c>
      <c r="N116" s="28"/>
      <c r="O116" s="29"/>
    </row>
    <row r="117" spans="3:15" x14ac:dyDescent="0.25">
      <c r="C117" s="21" t="s">
        <v>62</v>
      </c>
      <c r="I117" s="26"/>
      <c r="J117" s="2"/>
      <c r="K117" s="2"/>
      <c r="L117" s="2"/>
      <c r="M117" s="2"/>
    </row>
    <row r="118" spans="3:15" x14ac:dyDescent="0.25">
      <c r="C118" s="1" t="s">
        <v>92</v>
      </c>
      <c r="D118" s="1"/>
      <c r="E118" s="1"/>
      <c r="F118" s="1"/>
      <c r="G118" s="1"/>
      <c r="H118" s="25">
        <v>1299</v>
      </c>
      <c r="I118" s="3">
        <f>SUM(I114:I117)</f>
        <v>1555.9760466132298</v>
      </c>
      <c r="J118" s="3">
        <f>SUM(J114:J117)</f>
        <v>1581.463368117533</v>
      </c>
      <c r="K118" s="3">
        <f>SUM(K114:K117)</f>
        <v>1555.6593513751395</v>
      </c>
      <c r="L118" s="3">
        <f>SUM(L114:L117)</f>
        <v>1509.7174576625193</v>
      </c>
      <c r="M118" s="3">
        <f>SUM(M114:M117)</f>
        <v>1468.823504708796</v>
      </c>
      <c r="N118" s="28"/>
      <c r="O118" s="38"/>
    </row>
    <row r="120" spans="3:15" x14ac:dyDescent="0.25">
      <c r="C120" t="s">
        <v>72</v>
      </c>
      <c r="H120" s="2"/>
      <c r="I120" s="2">
        <f>H124</f>
        <v>9.3109999999999999</v>
      </c>
      <c r="J120" s="2">
        <f t="shared" ref="J120:M120" si="52">I124</f>
        <v>11.964707313524293</v>
      </c>
      <c r="K120" s="2">
        <f t="shared" si="52"/>
        <v>11.964707313524293</v>
      </c>
      <c r="L120" s="2">
        <f t="shared" si="52"/>
        <v>11.964707313524293</v>
      </c>
      <c r="M120" s="2">
        <f t="shared" si="52"/>
        <v>11.964707313524293</v>
      </c>
    </row>
    <row r="121" spans="3:15" x14ac:dyDescent="0.25">
      <c r="C121" s="21" t="s">
        <v>88</v>
      </c>
      <c r="I121" s="35">
        <f>IF(H$112=1,G78-I120,0)</f>
        <v>0</v>
      </c>
      <c r="J121" s="35">
        <f>IF(I$112=1,H78-J120,0)</f>
        <v>0</v>
      </c>
      <c r="K121" s="35">
        <f>IF(J$112=1,I78-K120,0)</f>
        <v>0</v>
      </c>
      <c r="L121" s="35">
        <f>IF(K$112=1,J78-L120,0)</f>
        <v>0</v>
      </c>
      <c r="M121" s="35">
        <f>IF(L$112=1,K78-M120,0)</f>
        <v>0</v>
      </c>
      <c r="N121" s="28"/>
      <c r="O121" s="29"/>
    </row>
    <row r="122" spans="3:15" x14ac:dyDescent="0.25">
      <c r="C122" s="21" t="s">
        <v>71</v>
      </c>
      <c r="I122" s="36">
        <f>I120*H$10</f>
        <v>2.6537073135242935</v>
      </c>
      <c r="J122" s="35">
        <f>'Addtl Plant in Service'!AL59-'Addtl Plant in Service'!AK59</f>
        <v>0</v>
      </c>
      <c r="K122" s="35">
        <f>'Addtl Plant in Service'!AM59-'Addtl Plant in Service'!AL59</f>
        <v>0</v>
      </c>
      <c r="L122" s="35">
        <f>'Addtl Plant in Service'!AN59-'Addtl Plant in Service'!AM59</f>
        <v>0</v>
      </c>
      <c r="M122" s="35">
        <f>'Addtl Plant in Service'!AO59-'Addtl Plant in Service'!AN59</f>
        <v>0</v>
      </c>
      <c r="N122" s="28"/>
      <c r="O122" s="29"/>
    </row>
    <row r="123" spans="3:15" x14ac:dyDescent="0.25">
      <c r="C123" s="21" t="s">
        <v>62</v>
      </c>
      <c r="I123" s="26"/>
      <c r="J123" s="2"/>
      <c r="K123" s="2"/>
      <c r="L123" s="2"/>
      <c r="M123" s="2"/>
    </row>
    <row r="124" spans="3:15" x14ac:dyDescent="0.25">
      <c r="C124" s="1" t="s">
        <v>73</v>
      </c>
      <c r="D124" s="1"/>
      <c r="E124" s="1"/>
      <c r="F124" s="1"/>
      <c r="G124" s="1"/>
      <c r="H124" s="25">
        <v>9.3109999999999999</v>
      </c>
      <c r="I124" s="3">
        <f>SUM(I120:I123)</f>
        <v>11.964707313524293</v>
      </c>
      <c r="J124" s="3">
        <f>SUM(J120:J123)</f>
        <v>11.964707313524293</v>
      </c>
      <c r="K124" s="3">
        <f>SUM(K120:K123)</f>
        <v>11.964707313524293</v>
      </c>
      <c r="L124" s="3">
        <f>SUM(L120:L123)</f>
        <v>11.964707313524293</v>
      </c>
      <c r="M124" s="3">
        <f>SUM(M120:M123)</f>
        <v>11.964707313524293</v>
      </c>
      <c r="N124" s="28"/>
      <c r="O124" s="29"/>
    </row>
    <row r="126" spans="3:15" x14ac:dyDescent="0.25">
      <c r="C126" t="s">
        <v>94</v>
      </c>
      <c r="H126" s="2"/>
      <c r="I126" s="2">
        <f>H130</f>
        <v>33.406000000000006</v>
      </c>
      <c r="J126" s="2">
        <f t="shared" ref="J126:M126" si="53">I130</f>
        <v>83.706462892346522</v>
      </c>
      <c r="K126" s="2">
        <f t="shared" si="53"/>
        <v>135.80516051708355</v>
      </c>
      <c r="L126" s="2">
        <f t="shared" si="53"/>
        <v>189.82259872783555</v>
      </c>
      <c r="M126" s="2">
        <f t="shared" si="53"/>
        <v>244.90554716067834</v>
      </c>
    </row>
    <row r="127" spans="3:15" x14ac:dyDescent="0.25">
      <c r="C127" s="21" t="s">
        <v>88</v>
      </c>
      <c r="I127" s="35">
        <f>I41*$H$11+H41*(1-$H$11)</f>
        <v>37.800459848066097</v>
      </c>
      <c r="J127" s="35">
        <f>J41*$H$11+I41*(1-$H$11)</f>
        <v>39.598694580456595</v>
      </c>
      <c r="K127" s="35">
        <f>K41*$H$11+J41*(1-$H$11)</f>
        <v>41.517435166471586</v>
      </c>
      <c r="L127" s="35">
        <f>L41*$H$11+K41*(1-$H$11)</f>
        <v>42.582945388562351</v>
      </c>
      <c r="M127" s="35">
        <f>M41*$H$11+L41*(1-$H$11)</f>
        <v>43.348213399152399</v>
      </c>
      <c r="N127" s="28"/>
      <c r="O127" s="29"/>
    </row>
    <row r="128" spans="3:15" x14ac:dyDescent="0.25">
      <c r="C128" s="21" t="s">
        <v>71</v>
      </c>
      <c r="I128" s="42">
        <f>J128</f>
        <v>12.500003044280419</v>
      </c>
      <c r="J128" s="35">
        <f>J42</f>
        <v>12.500003044280419</v>
      </c>
      <c r="K128" s="35">
        <f>K42*$H$11+J42*(1-$H$11)</f>
        <v>12.500003044280433</v>
      </c>
      <c r="L128" s="35">
        <f>L42*$H$11+K42*(1-$H$11)</f>
        <v>12.500003044280447</v>
      </c>
      <c r="M128" s="35">
        <f>M42*$H$11+L42*(1-$H$11)</f>
        <v>12.500003044280433</v>
      </c>
      <c r="N128" s="28"/>
      <c r="O128" s="29"/>
    </row>
    <row r="129" spans="3:15" x14ac:dyDescent="0.25">
      <c r="C129" s="21" t="s">
        <v>62</v>
      </c>
      <c r="I129" s="26"/>
      <c r="J129" s="2"/>
      <c r="K129" s="2"/>
      <c r="L129" s="2"/>
      <c r="M129" s="2"/>
    </row>
    <row r="130" spans="3:15" x14ac:dyDescent="0.25">
      <c r="C130" s="1" t="s">
        <v>30</v>
      </c>
      <c r="D130" s="1"/>
      <c r="E130" s="1"/>
      <c r="F130" s="1"/>
      <c r="G130" s="1"/>
      <c r="H130" s="25">
        <f>33.34+0.066</f>
        <v>33.406000000000006</v>
      </c>
      <c r="I130" s="3">
        <f>SUM(I126:I129)</f>
        <v>83.706462892346522</v>
      </c>
      <c r="J130" s="3">
        <f>SUM(J126:J129)</f>
        <v>135.80516051708355</v>
      </c>
      <c r="K130" s="3">
        <f>SUM(K126:K129)</f>
        <v>189.82259872783555</v>
      </c>
      <c r="L130" s="3">
        <f>SUM(L126:L129)</f>
        <v>244.90554716067834</v>
      </c>
      <c r="M130" s="3">
        <f>SUM(M126:M129)</f>
        <v>300.75376360411121</v>
      </c>
      <c r="N130" s="28"/>
      <c r="O130" s="29"/>
    </row>
    <row r="132" spans="3:15" x14ac:dyDescent="0.25">
      <c r="C132" t="s">
        <v>74</v>
      </c>
      <c r="H132" s="2"/>
      <c r="I132" s="2">
        <f>H136</f>
        <v>0.60199999999999998</v>
      </c>
      <c r="J132" s="2">
        <f t="shared" ref="J132:M132" si="54">I136</f>
        <v>0.77357467540990488</v>
      </c>
      <c r="K132" s="2">
        <f t="shared" si="54"/>
        <v>0.77357467540990488</v>
      </c>
      <c r="L132" s="2">
        <f t="shared" si="54"/>
        <v>0.77357467540990488</v>
      </c>
      <c r="M132" s="2">
        <f t="shared" si="54"/>
        <v>0.77357467540990488</v>
      </c>
    </row>
    <row r="133" spans="3:15" x14ac:dyDescent="0.25">
      <c r="C133" s="21" t="s">
        <v>88</v>
      </c>
      <c r="I133" s="35">
        <f>IF(H$112=1,G84-I132,0)</f>
        <v>0</v>
      </c>
      <c r="J133" s="35">
        <f>IF(I$112=1,H84-J132,0)</f>
        <v>0</v>
      </c>
      <c r="K133" s="35">
        <f>IF(J$112=1,I84-K132,0)</f>
        <v>0</v>
      </c>
      <c r="L133" s="35">
        <f>IF(K$112=1,J83-L132,0)</f>
        <v>0</v>
      </c>
      <c r="M133" s="35">
        <f>IF(L$112=1,K84-M132,0)</f>
        <v>0</v>
      </c>
      <c r="N133" s="28"/>
      <c r="O133" s="29"/>
    </row>
    <row r="134" spans="3:15" x14ac:dyDescent="0.25">
      <c r="C134" s="21" t="s">
        <v>71</v>
      </c>
      <c r="I134" s="36">
        <f>I132*H$10</f>
        <v>0.1715746754099049</v>
      </c>
      <c r="J134" s="35">
        <f>'Addtl Plant in Service'!AL65-'Addtl Plant in Service'!AK65</f>
        <v>0</v>
      </c>
      <c r="K134" s="35">
        <f>'Addtl Plant in Service'!AM65-'Addtl Plant in Service'!AL65</f>
        <v>0</v>
      </c>
      <c r="L134" s="35">
        <f>'Addtl Plant in Service'!AN65-'Addtl Plant in Service'!AM65</f>
        <v>0</v>
      </c>
      <c r="M134" s="35">
        <f>'Addtl Plant in Service'!AO65-'Addtl Plant in Service'!AN65</f>
        <v>0</v>
      </c>
      <c r="N134" s="28"/>
      <c r="O134" s="29"/>
    </row>
    <row r="135" spans="3:15" x14ac:dyDescent="0.25">
      <c r="C135" s="21" t="s">
        <v>62</v>
      </c>
      <c r="I135" s="26"/>
      <c r="J135" s="2"/>
      <c r="K135" s="2"/>
      <c r="L135" s="2"/>
      <c r="M135" s="2"/>
    </row>
    <row r="136" spans="3:15" x14ac:dyDescent="0.25">
      <c r="C136" s="1" t="s">
        <v>31</v>
      </c>
      <c r="D136" s="1"/>
      <c r="E136" s="1"/>
      <c r="F136" s="1"/>
      <c r="G136" s="1"/>
      <c r="H136" s="25">
        <v>0.60199999999999998</v>
      </c>
      <c r="I136" s="3">
        <f>SUM(I132:I135)</f>
        <v>0.77357467540990488</v>
      </c>
      <c r="J136" s="3">
        <f>SUM(J132:J135)</f>
        <v>0.77357467540990488</v>
      </c>
      <c r="K136" s="3">
        <f>SUM(K132:K135)</f>
        <v>0.77357467540990488</v>
      </c>
      <c r="L136" s="3">
        <f>SUM(L132:L135)</f>
        <v>0.77357467540990488</v>
      </c>
      <c r="M136" s="3">
        <f>SUM(M132:M135)</f>
        <v>0.77357467540990488</v>
      </c>
      <c r="N136" s="28"/>
      <c r="O136" s="29"/>
    </row>
    <row r="138" spans="3:15" x14ac:dyDescent="0.25">
      <c r="C138" t="s">
        <v>75</v>
      </c>
      <c r="H138" s="2"/>
      <c r="I138" s="2">
        <f>H142</f>
        <v>22.67</v>
      </c>
      <c r="J138" s="2">
        <f t="shared" ref="J138:M138" si="55">I142</f>
        <v>29.835492368236601</v>
      </c>
      <c r="K138" s="2">
        <f t="shared" si="55"/>
        <v>30.534440109848344</v>
      </c>
      <c r="L138" s="2">
        <f t="shared" si="55"/>
        <v>30.406628790121545</v>
      </c>
      <c r="M138" s="2">
        <f t="shared" si="55"/>
        <v>30.174737503461532</v>
      </c>
    </row>
    <row r="139" spans="3:15" x14ac:dyDescent="0.25">
      <c r="C139" s="21" t="s">
        <v>88</v>
      </c>
      <c r="I139" s="35">
        <f>I$91*$H$11+H$91*(1-$H$11)</f>
        <v>0.70436630255130928</v>
      </c>
      <c r="J139" s="35">
        <f>J$91*$H$11+I$91*(1-$H$11)</f>
        <v>0.69894774161174145</v>
      </c>
      <c r="K139" s="35">
        <f>K$91*$H$11+J$91*(1-$H$11)</f>
        <v>-0.12781131972679971</v>
      </c>
      <c r="L139" s="35">
        <f>L$91*$H$11+K$91*(1-$H$11)</f>
        <v>-0.23189128666001357</v>
      </c>
      <c r="M139" s="35">
        <f>M$91*$H$11+L$91*(1-$H$11)</f>
        <v>-0.21446420971943961</v>
      </c>
      <c r="N139" s="28"/>
      <c r="O139" s="29"/>
    </row>
    <row r="140" spans="3:15" x14ac:dyDescent="0.25">
      <c r="C140" s="21" t="s">
        <v>71</v>
      </c>
      <c r="I140" s="36">
        <f>I138*H$10</f>
        <v>6.4611260656852902</v>
      </c>
      <c r="J140" s="35">
        <f>'Addtl Plant in Service'!AL71-'Addtl Plant in Service'!AK71</f>
        <v>0</v>
      </c>
      <c r="K140" s="35">
        <f>'Addtl Plant in Service'!AM71-'Addtl Plant in Service'!AL71</f>
        <v>0</v>
      </c>
      <c r="L140" s="35">
        <f>'Addtl Plant in Service'!AN71-'Addtl Plant in Service'!AM71</f>
        <v>0</v>
      </c>
      <c r="M140" s="35">
        <f>'Addtl Plant in Service'!AO71-'Addtl Plant in Service'!AN71</f>
        <v>0</v>
      </c>
      <c r="N140" s="28"/>
      <c r="O140" s="29"/>
    </row>
    <row r="141" spans="3:15" x14ac:dyDescent="0.25">
      <c r="C141" s="21" t="s">
        <v>62</v>
      </c>
      <c r="I141" s="26"/>
      <c r="J141" s="2"/>
      <c r="K141" s="2"/>
      <c r="L141" s="2"/>
      <c r="M141" s="2"/>
    </row>
    <row r="142" spans="3:15" x14ac:dyDescent="0.25">
      <c r="C142" s="1" t="s">
        <v>32</v>
      </c>
      <c r="D142" s="1"/>
      <c r="E142" s="1"/>
      <c r="F142" s="1"/>
      <c r="G142" s="1"/>
      <c r="H142" s="25">
        <v>22.67</v>
      </c>
      <c r="I142" s="3">
        <f>SUM(I138:I141)</f>
        <v>29.835492368236601</v>
      </c>
      <c r="J142" s="3">
        <f>SUM(J138:J141)</f>
        <v>30.534440109848344</v>
      </c>
      <c r="K142" s="3">
        <f>SUM(K138:K141)</f>
        <v>30.406628790121545</v>
      </c>
      <c r="L142" s="3">
        <f>SUM(L138:L141)</f>
        <v>30.174737503461532</v>
      </c>
      <c r="M142" s="3">
        <f>SUM(M138:M141)</f>
        <v>29.960273293742091</v>
      </c>
      <c r="N142" s="28"/>
      <c r="O142" s="29"/>
    </row>
    <row r="144" spans="3:15" x14ac:dyDescent="0.25">
      <c r="C144" t="s">
        <v>79</v>
      </c>
      <c r="H144" s="2"/>
      <c r="I144" s="2">
        <f>H148</f>
        <v>30.504999999999999</v>
      </c>
      <c r="J144" s="2">
        <f t="shared" ref="J144:M144" si="56">I148</f>
        <v>39.733383693863658</v>
      </c>
      <c r="K144" s="2">
        <f t="shared" si="56"/>
        <v>40.243860831993572</v>
      </c>
      <c r="L144" s="2">
        <f t="shared" si="56"/>
        <v>39.676003469242673</v>
      </c>
      <c r="M144" s="2">
        <f t="shared" si="56"/>
        <v>38.665845578328231</v>
      </c>
    </row>
    <row r="145" spans="3:15" x14ac:dyDescent="0.25">
      <c r="C145" s="21" t="s">
        <v>88</v>
      </c>
      <c r="I145" s="35">
        <f>I$98*$H$11+H$98*(1-$H$11)</f>
        <v>0.53422177795145109</v>
      </c>
      <c r="J145" s="35">
        <f>J$98*$H$11+I$98*(1-$H$11)</f>
        <v>0.5104771381299178</v>
      </c>
      <c r="K145" s="35">
        <f>K$98*$H$11+J$98*(1-$H$11)</f>
        <v>-0.56785736275089893</v>
      </c>
      <c r="L145" s="35">
        <f>L$98*$H$11+K$98*(1-$H$11)</f>
        <v>-1.0101578909144413</v>
      </c>
      <c r="M145" s="35">
        <f>M$98*$H$11+L$98*(1-$H$11)</f>
        <v>-0.89597006024018278</v>
      </c>
      <c r="N145" s="28"/>
      <c r="O145" s="29"/>
    </row>
    <row r="146" spans="3:15" x14ac:dyDescent="0.25">
      <c r="C146" s="21" t="s">
        <v>71</v>
      </c>
      <c r="I146" s="36">
        <f>I144*H$10</f>
        <v>8.6941619159122077</v>
      </c>
      <c r="J146" s="35">
        <f>'Addtl Plant in Service'!AL77-'Addtl Plant in Service'!AK77</f>
        <v>0</v>
      </c>
      <c r="K146" s="35">
        <f>'Addtl Plant in Service'!AM77-'Addtl Plant in Service'!AL77</f>
        <v>0</v>
      </c>
      <c r="L146" s="35">
        <f>'Addtl Plant in Service'!AN77-'Addtl Plant in Service'!AM77</f>
        <v>0</v>
      </c>
      <c r="M146" s="35">
        <f>'Addtl Plant in Service'!AO77-'Addtl Plant in Service'!AN77</f>
        <v>0</v>
      </c>
      <c r="N146" s="28"/>
      <c r="O146" s="29"/>
    </row>
    <row r="147" spans="3:15" x14ac:dyDescent="0.25">
      <c r="C147" s="21" t="s">
        <v>62</v>
      </c>
      <c r="I147" s="26"/>
      <c r="J147" s="2"/>
      <c r="K147" s="2"/>
      <c r="L147" s="2"/>
      <c r="M147" s="2"/>
    </row>
    <row r="148" spans="3:15" x14ac:dyDescent="0.25">
      <c r="C148" s="1" t="s">
        <v>91</v>
      </c>
      <c r="D148" s="1"/>
      <c r="E148" s="1"/>
      <c r="F148" s="1"/>
      <c r="G148" s="1"/>
      <c r="H148" s="25">
        <v>30.504999999999999</v>
      </c>
      <c r="I148" s="3">
        <f>SUM(I144:I147)</f>
        <v>39.733383693863658</v>
      </c>
      <c r="J148" s="3">
        <f>SUM(J144:J147)</f>
        <v>40.243860831993572</v>
      </c>
      <c r="K148" s="3">
        <f>SUM(K144:K147)</f>
        <v>39.676003469242673</v>
      </c>
      <c r="L148" s="3">
        <f>SUM(L144:L147)</f>
        <v>38.665845578328231</v>
      </c>
      <c r="M148" s="3">
        <f>SUM(M144:M147)</f>
        <v>37.76987551808805</v>
      </c>
      <c r="N148" s="28"/>
      <c r="O148" s="29"/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B2:AO59"/>
  <sheetViews>
    <sheetView showGridLines="0" workbookViewId="0">
      <selection activeCell="K8" sqref="K8"/>
    </sheetView>
  </sheetViews>
  <sheetFormatPr defaultRowHeight="15" x14ac:dyDescent="0.25"/>
  <sheetData>
    <row r="2" spans="2:41" x14ac:dyDescent="0.25">
      <c r="B2" t="s">
        <v>5</v>
      </c>
      <c r="D2" s="49">
        <f>Assumptions!H6</f>
        <v>40</v>
      </c>
    </row>
    <row r="3" spans="2:41" x14ac:dyDescent="0.25">
      <c r="B3" t="s">
        <v>6</v>
      </c>
      <c r="D3" s="49">
        <f>Assumptions!H7</f>
        <v>15</v>
      </c>
      <c r="F3" s="11"/>
      <c r="G3" s="12"/>
    </row>
    <row r="4" spans="2:41" x14ac:dyDescent="0.25">
      <c r="B4" t="s">
        <v>25</v>
      </c>
      <c r="D4" s="50">
        <f>Assumptions!H8</f>
        <v>0.5</v>
      </c>
    </row>
    <row r="5" spans="2:41" x14ac:dyDescent="0.25">
      <c r="B5" t="s">
        <v>7</v>
      </c>
      <c r="D5" s="15">
        <f>Assumptions!H5</f>
        <v>0.35499999999999998</v>
      </c>
    </row>
    <row r="6" spans="2:41" x14ac:dyDescent="0.25">
      <c r="B6" t="s">
        <v>49</v>
      </c>
      <c r="D6" s="7">
        <v>0.5</v>
      </c>
    </row>
    <row r="9" spans="2:41" x14ac:dyDescent="0.25">
      <c r="B9" s="1" t="s">
        <v>18</v>
      </c>
      <c r="D9" s="8">
        <f>120*(1-$D$6)+140*$D$6</f>
        <v>130</v>
      </c>
      <c r="E9" s="8">
        <f>50*(1-$D$6)+100*$D$6</f>
        <v>75</v>
      </c>
      <c r="F9" s="8">
        <f>10*(1-$D$6)+60*$D$6</f>
        <v>35</v>
      </c>
      <c r="G9" s="8">
        <f t="shared" ref="G9:H9" si="0">F9</f>
        <v>35</v>
      </c>
      <c r="H9" s="8">
        <f t="shared" si="0"/>
        <v>35</v>
      </c>
    </row>
    <row r="11" spans="2:41" x14ac:dyDescent="0.25">
      <c r="AB11" s="13" t="s">
        <v>22</v>
      </c>
      <c r="AD11" s="13" t="s">
        <v>23</v>
      </c>
    </row>
    <row r="12" spans="2:41" x14ac:dyDescent="0.25">
      <c r="B12" s="1" t="s">
        <v>10</v>
      </c>
      <c r="K12" s="1" t="s">
        <v>12</v>
      </c>
      <c r="T12" s="1" t="s">
        <v>13</v>
      </c>
      <c r="U12" s="1"/>
      <c r="V12" s="1"/>
      <c r="W12" s="1"/>
      <c r="X12" s="1"/>
      <c r="Y12" s="1"/>
      <c r="Z12" s="1"/>
      <c r="AB12" s="13" t="s">
        <v>20</v>
      </c>
      <c r="AD12" s="13" t="s">
        <v>20</v>
      </c>
      <c r="AF12" s="13" t="s">
        <v>21</v>
      </c>
      <c r="AI12" s="1" t="s">
        <v>14</v>
      </c>
    </row>
    <row r="13" spans="2:41" x14ac:dyDescent="0.25">
      <c r="B13" s="1" t="s">
        <v>9</v>
      </c>
      <c r="C13" s="9">
        <v>0</v>
      </c>
      <c r="D13" s="9">
        <v>1</v>
      </c>
      <c r="E13" s="9">
        <v>2</v>
      </c>
      <c r="F13" s="9">
        <v>3</v>
      </c>
      <c r="G13" s="9">
        <v>4</v>
      </c>
      <c r="H13" s="9">
        <v>5</v>
      </c>
      <c r="K13" s="1" t="s">
        <v>9</v>
      </c>
      <c r="L13" s="9">
        <v>0</v>
      </c>
      <c r="M13" s="9">
        <v>1</v>
      </c>
      <c r="N13" s="9">
        <v>2</v>
      </c>
      <c r="O13" s="9">
        <v>3</v>
      </c>
      <c r="P13" s="9">
        <v>4</v>
      </c>
      <c r="Q13" s="9">
        <v>5</v>
      </c>
      <c r="T13" s="1" t="s">
        <v>9</v>
      </c>
      <c r="U13" s="9">
        <v>0</v>
      </c>
      <c r="V13" s="9">
        <v>1</v>
      </c>
      <c r="W13" s="9">
        <v>2</v>
      </c>
      <c r="X13" s="9">
        <v>3</v>
      </c>
      <c r="Y13" s="9">
        <v>4</v>
      </c>
      <c r="Z13" s="9">
        <v>5</v>
      </c>
      <c r="AB13" s="13" t="s">
        <v>24</v>
      </c>
      <c r="AD13" s="13" t="s">
        <v>24</v>
      </c>
      <c r="AF13" s="13" t="s">
        <v>20</v>
      </c>
      <c r="AI13" s="1"/>
      <c r="AJ13" s="9">
        <v>0</v>
      </c>
      <c r="AK13" s="9">
        <v>1</v>
      </c>
      <c r="AL13" s="9">
        <v>2</v>
      </c>
      <c r="AM13" s="9">
        <v>3</v>
      </c>
      <c r="AN13" s="9">
        <v>4</v>
      </c>
      <c r="AO13" s="9">
        <v>5</v>
      </c>
    </row>
    <row r="14" spans="2:41" x14ac:dyDescent="0.25">
      <c r="B14" s="6">
        <v>1</v>
      </c>
      <c r="C14" s="8">
        <v>494.06296289643836</v>
      </c>
      <c r="D14" s="2">
        <f>D9</f>
        <v>130</v>
      </c>
      <c r="E14" s="2">
        <f>E9</f>
        <v>75</v>
      </c>
      <c r="F14" s="2">
        <f>F9</f>
        <v>35</v>
      </c>
      <c r="G14" s="2">
        <f>G9</f>
        <v>35</v>
      </c>
      <c r="H14" s="2">
        <f>H9</f>
        <v>35</v>
      </c>
      <c r="K14" s="6">
        <v>1</v>
      </c>
      <c r="L14" s="2">
        <f t="shared" ref="L14:L55" si="1">C14*$AB14</f>
        <v>6.1757870362054801</v>
      </c>
      <c r="M14" s="2">
        <f t="shared" ref="M14:M55" si="2">D14*$AB14</f>
        <v>1.625</v>
      </c>
      <c r="N14" s="2">
        <f t="shared" ref="N14:N55" si="3">E14*$AB14</f>
        <v>0.9375</v>
      </c>
      <c r="O14" s="2">
        <f t="shared" ref="O14:O55" si="4">F14*$AB14</f>
        <v>0.4375</v>
      </c>
      <c r="P14" s="2">
        <f t="shared" ref="P14:P55" si="5">G14*$AB14</f>
        <v>0.4375</v>
      </c>
      <c r="Q14" s="2">
        <f t="shared" ref="Q14:Q55" si="6">H14*$AB14</f>
        <v>0.4375</v>
      </c>
      <c r="T14" s="6">
        <v>1</v>
      </c>
      <c r="U14" s="2">
        <f t="shared" ref="U14:U55" si="7">$AD14*C14</f>
        <v>32.93753085976256</v>
      </c>
      <c r="V14" s="2">
        <f t="shared" ref="V14:V55" si="8">$AD14*D14</f>
        <v>8.6666666666666661</v>
      </c>
      <c r="W14" s="2">
        <f t="shared" ref="W14:W55" si="9">$AD14*E14</f>
        <v>5</v>
      </c>
      <c r="X14" s="2">
        <f t="shared" ref="X14:X55" si="10">$AD14*F14</f>
        <v>2.3333333333333335</v>
      </c>
      <c r="Y14" s="2">
        <f t="shared" ref="Y14:Y55" si="11">$AD14*G14</f>
        <v>2.3333333333333335</v>
      </c>
      <c r="Z14" s="2">
        <f t="shared" ref="Z14:Z55" si="12">$AD14*H14</f>
        <v>2.3333333333333335</v>
      </c>
      <c r="AB14" s="11">
        <f t="shared" ref="AB14:AB55" si="13">MIN(1,($K14-(1-$D$4))/$D$2)</f>
        <v>1.2500000000000001E-2</v>
      </c>
      <c r="AD14" s="12">
        <f>IFERROR(macrs($D$3,$D$4,$AF14,$T14,TRUE),1)</f>
        <v>6.6666666666666666E-2</v>
      </c>
      <c r="AF14" s="7">
        <v>0</v>
      </c>
      <c r="AI14" s="5" t="s">
        <v>16</v>
      </c>
      <c r="AJ14" s="2">
        <f t="shared" ref="AJ14:AO14" si="14">L56</f>
        <v>156.99874963995174</v>
      </c>
      <c r="AK14" s="2">
        <f t="shared" si="14"/>
        <v>195.34266933608393</v>
      </c>
      <c r="AL14" s="2">
        <f t="shared" si="14"/>
        <v>236.19613880086493</v>
      </c>
      <c r="AM14" s="2">
        <f t="shared" si="14"/>
        <v>278.3775396690271</v>
      </c>
      <c r="AN14" s="2">
        <f t="shared" si="14"/>
        <v>321.36202957798963</v>
      </c>
      <c r="AO14" s="2">
        <f t="shared" si="14"/>
        <v>365.0739664673319</v>
      </c>
    </row>
    <row r="15" spans="2:41" x14ac:dyDescent="0.25">
      <c r="B15" s="6">
        <v>2</v>
      </c>
      <c r="C15" s="8">
        <v>125.43377199605249</v>
      </c>
      <c r="D15" s="2">
        <f>C14</f>
        <v>494.06296289643836</v>
      </c>
      <c r="E15" s="2">
        <f t="shared" ref="E15:H30" si="15">D14</f>
        <v>130</v>
      </c>
      <c r="F15" s="2">
        <f t="shared" si="15"/>
        <v>75</v>
      </c>
      <c r="G15" s="2">
        <f t="shared" si="15"/>
        <v>35</v>
      </c>
      <c r="H15" s="2">
        <f t="shared" si="15"/>
        <v>35</v>
      </c>
      <c r="K15" s="6">
        <v>2</v>
      </c>
      <c r="L15" s="2">
        <f t="shared" si="1"/>
        <v>4.703766449851968</v>
      </c>
      <c r="M15" s="2">
        <f t="shared" si="2"/>
        <v>18.527361108616439</v>
      </c>
      <c r="N15" s="2">
        <f t="shared" si="3"/>
        <v>4.875</v>
      </c>
      <c r="O15" s="2">
        <f t="shared" si="4"/>
        <v>2.8125</v>
      </c>
      <c r="P15" s="2">
        <f t="shared" si="5"/>
        <v>1.3125</v>
      </c>
      <c r="Q15" s="2">
        <f t="shared" si="6"/>
        <v>1.3125</v>
      </c>
      <c r="T15" s="6">
        <v>2</v>
      </c>
      <c r="U15" s="2">
        <f t="shared" si="7"/>
        <v>23.971787537023364</v>
      </c>
      <c r="V15" s="2">
        <f t="shared" si="8"/>
        <v>94.420921797985997</v>
      </c>
      <c r="W15" s="2">
        <f t="shared" si="9"/>
        <v>24.844444444444445</v>
      </c>
      <c r="X15" s="2">
        <f t="shared" si="10"/>
        <v>14.333333333333334</v>
      </c>
      <c r="Y15" s="2">
        <f t="shared" si="11"/>
        <v>6.6888888888888891</v>
      </c>
      <c r="Z15" s="2">
        <f t="shared" si="12"/>
        <v>6.6888888888888891</v>
      </c>
      <c r="AB15" s="11">
        <f t="shared" si="13"/>
        <v>3.7499999999999999E-2</v>
      </c>
      <c r="AD15" s="12">
        <f>IFERROR(macrs($D$3,$D$4,$AF15,$T15,TRUE),1)</f>
        <v>0.19111111111111112</v>
      </c>
      <c r="AF15" s="7">
        <v>0</v>
      </c>
      <c r="AI15" s="5" t="s">
        <v>17</v>
      </c>
      <c r="AJ15" s="2">
        <f t="shared" ref="AJ15:AO15" si="16">U56</f>
        <v>441.90860809030198</v>
      </c>
      <c r="AK15" s="2">
        <f t="shared" si="16"/>
        <v>588.59015318226704</v>
      </c>
      <c r="AL15" s="2">
        <f t="shared" si="16"/>
        <v>729.00998936645749</v>
      </c>
      <c r="AM15" s="2">
        <f t="shared" si="16"/>
        <v>858.35468811127794</v>
      </c>
      <c r="AN15" s="2">
        <f t="shared" si="16"/>
        <v>975.38972788861679</v>
      </c>
      <c r="AO15" s="2">
        <f t="shared" si="16"/>
        <v>1081.7031070708335</v>
      </c>
    </row>
    <row r="16" spans="2:41" x14ac:dyDescent="0.25">
      <c r="B16" s="6">
        <v>3</v>
      </c>
      <c r="C16" s="8">
        <v>587.60052733530642</v>
      </c>
      <c r="D16" s="2">
        <f t="shared" ref="D16:H54" si="17">C15</f>
        <v>125.43377199605249</v>
      </c>
      <c r="E16" s="2">
        <f t="shared" si="15"/>
        <v>494.06296289643836</v>
      </c>
      <c r="F16" s="2">
        <f t="shared" si="15"/>
        <v>130</v>
      </c>
      <c r="G16" s="2">
        <f t="shared" si="15"/>
        <v>75</v>
      </c>
      <c r="H16" s="2">
        <f t="shared" si="15"/>
        <v>35</v>
      </c>
      <c r="K16" s="6">
        <v>3</v>
      </c>
      <c r="L16" s="2">
        <f t="shared" si="1"/>
        <v>36.725032958456651</v>
      </c>
      <c r="M16" s="2">
        <f t="shared" si="2"/>
        <v>7.8396107497532803</v>
      </c>
      <c r="N16" s="2">
        <f t="shared" si="3"/>
        <v>30.878935181027398</v>
      </c>
      <c r="O16" s="2">
        <f t="shared" si="4"/>
        <v>8.125</v>
      </c>
      <c r="P16" s="2">
        <f t="shared" si="5"/>
        <v>4.6875</v>
      </c>
      <c r="Q16" s="2">
        <f t="shared" si="6"/>
        <v>2.1875</v>
      </c>
      <c r="T16" s="6">
        <v>3</v>
      </c>
      <c r="U16" s="2">
        <f t="shared" si="7"/>
        <v>175.67079469076273</v>
      </c>
      <c r="V16" s="2">
        <f t="shared" si="8"/>
        <v>37.500052131560579</v>
      </c>
      <c r="W16" s="2">
        <f t="shared" si="9"/>
        <v>147.70652727777966</v>
      </c>
      <c r="X16" s="2">
        <f t="shared" si="10"/>
        <v>38.86518518518519</v>
      </c>
      <c r="Y16" s="2">
        <f t="shared" si="11"/>
        <v>22.422222222222224</v>
      </c>
      <c r="Z16" s="2">
        <f t="shared" si="12"/>
        <v>10.463703703703704</v>
      </c>
      <c r="AB16" s="11">
        <f t="shared" si="13"/>
        <v>6.25E-2</v>
      </c>
      <c r="AD16" s="12">
        <f>IFERROR(macrs($D$3,$D$4,$AF16,$T16,TRUE),1)</f>
        <v>0.29896296296296299</v>
      </c>
      <c r="AF16" s="7">
        <v>0</v>
      </c>
      <c r="AI16" s="1" t="s">
        <v>15</v>
      </c>
      <c r="AJ16" s="3">
        <f t="shared" ref="AJ16:AO16" si="18">(AJ15-AJ14)*$D$5</f>
        <v>101.14299974987433</v>
      </c>
      <c r="AK16" s="3">
        <f t="shared" si="18"/>
        <v>139.60285676539499</v>
      </c>
      <c r="AL16" s="3">
        <f t="shared" si="18"/>
        <v>174.94891695078536</v>
      </c>
      <c r="AM16" s="3">
        <f t="shared" si="18"/>
        <v>205.89188769699905</v>
      </c>
      <c r="AN16" s="3">
        <f t="shared" si="18"/>
        <v>232.1798329002726</v>
      </c>
      <c r="AO16" s="3">
        <f t="shared" si="18"/>
        <v>254.40334491424304</v>
      </c>
    </row>
    <row r="17" spans="2:32" x14ac:dyDescent="0.25">
      <c r="B17" s="6">
        <v>4</v>
      </c>
      <c r="C17" s="8">
        <v>32.226309424729926</v>
      </c>
      <c r="D17" s="2">
        <f t="shared" si="17"/>
        <v>587.60052733530642</v>
      </c>
      <c r="E17" s="2">
        <f t="shared" si="15"/>
        <v>125.43377199605249</v>
      </c>
      <c r="F17" s="2">
        <f t="shared" si="15"/>
        <v>494.06296289643836</v>
      </c>
      <c r="G17" s="2">
        <f t="shared" si="15"/>
        <v>130</v>
      </c>
      <c r="H17" s="2">
        <f t="shared" si="15"/>
        <v>75</v>
      </c>
      <c r="K17" s="6">
        <v>4</v>
      </c>
      <c r="L17" s="2">
        <f t="shared" si="1"/>
        <v>2.8198020746638686</v>
      </c>
      <c r="M17" s="2">
        <f t="shared" si="2"/>
        <v>51.415046141839312</v>
      </c>
      <c r="N17" s="2">
        <f t="shared" si="3"/>
        <v>10.975455049654592</v>
      </c>
      <c r="O17" s="2">
        <f t="shared" si="4"/>
        <v>43.230509253438356</v>
      </c>
      <c r="P17" s="2">
        <f t="shared" si="5"/>
        <v>11.375</v>
      </c>
      <c r="Q17" s="2">
        <f t="shared" si="6"/>
        <v>6.5625</v>
      </c>
      <c r="T17" s="6">
        <v>4</v>
      </c>
      <c r="U17" s="2">
        <f t="shared" si="7"/>
        <v>12.646717814145372</v>
      </c>
      <c r="V17" s="2">
        <f t="shared" si="8"/>
        <v>230.59475904336855</v>
      </c>
      <c r="W17" s="2">
        <f t="shared" si="9"/>
        <v>49.224548113492837</v>
      </c>
      <c r="X17" s="2">
        <f t="shared" si="10"/>
        <v>193.8873853602675</v>
      </c>
      <c r="Y17" s="2">
        <f t="shared" si="11"/>
        <v>51.016493827160495</v>
      </c>
      <c r="Z17" s="2">
        <f t="shared" si="12"/>
        <v>29.432592592592595</v>
      </c>
      <c r="AB17" s="11">
        <f t="shared" si="13"/>
        <v>8.7499999999999994E-2</v>
      </c>
      <c r="AD17" s="12">
        <f>IFERROR(macrs($D$3,$D$4,$AF17,$T17,TRUE),1)</f>
        <v>0.3924345679012346</v>
      </c>
      <c r="AF17" s="7">
        <v>0</v>
      </c>
    </row>
    <row r="18" spans="2:32" x14ac:dyDescent="0.25">
      <c r="B18" s="6">
        <v>5</v>
      </c>
      <c r="C18" s="8">
        <v>20.334462086646482</v>
      </c>
      <c r="D18" s="2">
        <f t="shared" si="17"/>
        <v>32.226309424729926</v>
      </c>
      <c r="E18" s="2">
        <f t="shared" si="15"/>
        <v>587.60052733530642</v>
      </c>
      <c r="F18" s="2">
        <f t="shared" si="15"/>
        <v>125.43377199605249</v>
      </c>
      <c r="G18" s="2">
        <f t="shared" si="15"/>
        <v>494.06296289643836</v>
      </c>
      <c r="H18" s="2">
        <f t="shared" si="15"/>
        <v>130</v>
      </c>
      <c r="K18" s="6">
        <v>5</v>
      </c>
      <c r="L18" s="2">
        <f t="shared" si="1"/>
        <v>2.2876269847477295</v>
      </c>
      <c r="M18" s="2">
        <f t="shared" si="2"/>
        <v>3.6254598102821167</v>
      </c>
      <c r="N18" s="2">
        <f t="shared" si="3"/>
        <v>66.105059325221973</v>
      </c>
      <c r="O18" s="2">
        <f t="shared" si="4"/>
        <v>14.111299349555905</v>
      </c>
      <c r="P18" s="2">
        <f t="shared" si="5"/>
        <v>55.582083325849318</v>
      </c>
      <c r="Q18" s="2">
        <f t="shared" si="6"/>
        <v>14.625</v>
      </c>
      <c r="T18" s="6">
        <v>5</v>
      </c>
      <c r="U18" s="2">
        <f t="shared" si="7"/>
        <v>9.6272146750330609</v>
      </c>
      <c r="V18" s="2">
        <f t="shared" si="8"/>
        <v>15.25733002888998</v>
      </c>
      <c r="W18" s="2">
        <f t="shared" si="9"/>
        <v>278.19552814896031</v>
      </c>
      <c r="X18" s="2">
        <f t="shared" si="10"/>
        <v>59.385777964500797</v>
      </c>
      <c r="Y18" s="2">
        <f t="shared" si="11"/>
        <v>233.91079569842361</v>
      </c>
      <c r="Z18" s="2">
        <f t="shared" si="12"/>
        <v>61.547627983539101</v>
      </c>
      <c r="AB18" s="11">
        <f t="shared" si="13"/>
        <v>0.1125</v>
      </c>
      <c r="AD18" s="12">
        <f>IFERROR(macrs($D$3,$D$4,$AF18,$T18,TRUE),1)</f>
        <v>0.47344329218107001</v>
      </c>
      <c r="AF18" s="7">
        <v>0</v>
      </c>
    </row>
    <row r="19" spans="2:32" x14ac:dyDescent="0.25">
      <c r="B19" s="6">
        <v>6</v>
      </c>
      <c r="C19" s="8">
        <v>14.459505436222855</v>
      </c>
      <c r="D19" s="2">
        <f t="shared" si="17"/>
        <v>20.334462086646482</v>
      </c>
      <c r="E19" s="2">
        <f t="shared" si="15"/>
        <v>32.226309424729926</v>
      </c>
      <c r="F19" s="2">
        <f t="shared" si="15"/>
        <v>587.60052733530642</v>
      </c>
      <c r="G19" s="2">
        <f t="shared" si="15"/>
        <v>125.43377199605249</v>
      </c>
      <c r="H19" s="2">
        <f t="shared" si="15"/>
        <v>494.06296289643836</v>
      </c>
      <c r="K19" s="6">
        <v>6</v>
      </c>
      <c r="L19" s="2">
        <f t="shared" si="1"/>
        <v>1.9881819974806427</v>
      </c>
      <c r="M19" s="2">
        <f t="shared" si="2"/>
        <v>2.7959885369138915</v>
      </c>
      <c r="N19" s="2">
        <f t="shared" si="3"/>
        <v>4.4311175459003653</v>
      </c>
      <c r="O19" s="2">
        <f t="shared" si="4"/>
        <v>80.795072508604633</v>
      </c>
      <c r="P19" s="2">
        <f t="shared" si="5"/>
        <v>17.247143649457218</v>
      </c>
      <c r="Q19" s="2">
        <f t="shared" si="6"/>
        <v>67.93365739826028</v>
      </c>
      <c r="T19" s="6">
        <v>6</v>
      </c>
      <c r="U19" s="2">
        <f t="shared" si="7"/>
        <v>7.8609224675937508</v>
      </c>
      <c r="V19" s="2">
        <f t="shared" si="8"/>
        <v>11.054847663248182</v>
      </c>
      <c r="W19" s="2">
        <f t="shared" si="9"/>
        <v>17.519860615001971</v>
      </c>
      <c r="X19" s="2">
        <f t="shared" si="10"/>
        <v>319.44952804047307</v>
      </c>
      <c r="Y19" s="2">
        <f t="shared" si="11"/>
        <v>68.192177168707687</v>
      </c>
      <c r="Z19" s="2">
        <f t="shared" si="12"/>
        <v>268.59775132482554</v>
      </c>
      <c r="AB19" s="11">
        <f t="shared" si="13"/>
        <v>0.13750000000000001</v>
      </c>
      <c r="AD19" s="12">
        <f>IFERROR(macrs($D$3,$D$4,$AF19,$T19,TRUE),1)</f>
        <v>0.54365085322359397</v>
      </c>
      <c r="AF19" s="7">
        <v>0</v>
      </c>
    </row>
    <row r="20" spans="2:32" x14ac:dyDescent="0.25">
      <c r="B20" s="6">
        <v>7</v>
      </c>
      <c r="C20" s="8">
        <v>11.409246349725363</v>
      </c>
      <c r="D20" s="2">
        <f t="shared" si="17"/>
        <v>14.459505436222855</v>
      </c>
      <c r="E20" s="2">
        <f t="shared" si="15"/>
        <v>20.334462086646482</v>
      </c>
      <c r="F20" s="2">
        <f t="shared" si="15"/>
        <v>32.226309424729926</v>
      </c>
      <c r="G20" s="2">
        <f t="shared" si="15"/>
        <v>587.60052733530642</v>
      </c>
      <c r="H20" s="2">
        <f t="shared" si="15"/>
        <v>125.43377199605249</v>
      </c>
      <c r="K20" s="6">
        <v>7</v>
      </c>
      <c r="L20" s="2">
        <f t="shared" si="1"/>
        <v>1.8540025318303714</v>
      </c>
      <c r="M20" s="2">
        <f t="shared" si="2"/>
        <v>2.3496696333862142</v>
      </c>
      <c r="N20" s="2">
        <f t="shared" si="3"/>
        <v>3.3043500890800535</v>
      </c>
      <c r="O20" s="2">
        <f t="shared" si="4"/>
        <v>5.2367752815186135</v>
      </c>
      <c r="P20" s="2">
        <f t="shared" si="5"/>
        <v>95.485085691987294</v>
      </c>
      <c r="Q20" s="2">
        <f t="shared" si="6"/>
        <v>20.38298794935853</v>
      </c>
      <c r="T20" s="6">
        <v>7</v>
      </c>
      <c r="U20" s="2">
        <f t="shared" si="7"/>
        <v>6.8968598242742347</v>
      </c>
      <c r="V20" s="2">
        <f t="shared" si="8"/>
        <v>8.7407335300776321</v>
      </c>
      <c r="W20" s="2">
        <f t="shared" si="9"/>
        <v>12.292129586367956</v>
      </c>
      <c r="X20" s="2">
        <f t="shared" si="10"/>
        <v>19.480720456299032</v>
      </c>
      <c r="Y20" s="2">
        <f t="shared" si="11"/>
        <v>355.20299461311754</v>
      </c>
      <c r="Z20" s="2">
        <f t="shared" si="12"/>
        <v>75.824389812353658</v>
      </c>
      <c r="AB20" s="11">
        <f t="shared" si="13"/>
        <v>0.16250000000000001</v>
      </c>
      <c r="AD20" s="12">
        <f>IFERROR(macrs($D$3,$D$4,$AF20,$T20,TRUE),1)</f>
        <v>0.60449740612711478</v>
      </c>
      <c r="AF20" s="7">
        <v>0</v>
      </c>
    </row>
    <row r="21" spans="2:32" x14ac:dyDescent="0.25">
      <c r="B21" s="6">
        <v>8</v>
      </c>
      <c r="C21" s="8">
        <v>9.767001151627495</v>
      </c>
      <c r="D21" s="2">
        <f t="shared" si="17"/>
        <v>11.409246349725363</v>
      </c>
      <c r="E21" s="2">
        <f t="shared" si="15"/>
        <v>14.459505436222855</v>
      </c>
      <c r="F21" s="2">
        <f t="shared" si="15"/>
        <v>20.334462086646482</v>
      </c>
      <c r="G21" s="2">
        <f t="shared" si="15"/>
        <v>32.226309424729926</v>
      </c>
      <c r="H21" s="2">
        <f t="shared" si="15"/>
        <v>587.60052733530642</v>
      </c>
      <c r="K21" s="6">
        <v>8</v>
      </c>
      <c r="L21" s="2">
        <f t="shared" si="1"/>
        <v>1.8313127159301552</v>
      </c>
      <c r="M21" s="2">
        <f t="shared" si="2"/>
        <v>2.1392336905735054</v>
      </c>
      <c r="N21" s="2">
        <f t="shared" si="3"/>
        <v>2.7111572692917854</v>
      </c>
      <c r="O21" s="2">
        <f t="shared" si="4"/>
        <v>3.8127116412462154</v>
      </c>
      <c r="P21" s="2">
        <f t="shared" si="5"/>
        <v>6.0424330171368617</v>
      </c>
      <c r="Q21" s="2">
        <f t="shared" si="6"/>
        <v>110.17509887536995</v>
      </c>
      <c r="T21" s="6">
        <v>8</v>
      </c>
      <c r="U21" s="2">
        <f t="shared" si="7"/>
        <v>6.4191767671097812</v>
      </c>
      <c r="V21" s="2">
        <f t="shared" si="8"/>
        <v>7.4985113610010519</v>
      </c>
      <c r="W21" s="2">
        <f t="shared" si="9"/>
        <v>9.5032364508969955</v>
      </c>
      <c r="X21" s="2">
        <f t="shared" si="10"/>
        <v>13.364440586405093</v>
      </c>
      <c r="Y21" s="2">
        <f t="shared" si="11"/>
        <v>21.180132318756485</v>
      </c>
      <c r="Z21" s="2">
        <f t="shared" si="12"/>
        <v>386.18933230940939</v>
      </c>
      <c r="AB21" s="11">
        <f t="shared" si="13"/>
        <v>0.1875</v>
      </c>
      <c r="AD21" s="12">
        <f>IFERROR(macrs($D$3,$D$4,$AF21,$T21,TRUE),1)</f>
        <v>0.65723108531016616</v>
      </c>
      <c r="AF21" s="7">
        <v>0</v>
      </c>
    </row>
    <row r="22" spans="2:32" x14ac:dyDescent="0.25">
      <c r="B22" s="6">
        <v>9</v>
      </c>
      <c r="C22" s="8">
        <v>8.7880594234662581</v>
      </c>
      <c r="D22" s="2">
        <f t="shared" si="17"/>
        <v>9.767001151627495</v>
      </c>
      <c r="E22" s="2">
        <f t="shared" si="15"/>
        <v>11.409246349725363</v>
      </c>
      <c r="F22" s="2">
        <f t="shared" si="15"/>
        <v>14.459505436222855</v>
      </c>
      <c r="G22" s="2">
        <f t="shared" si="15"/>
        <v>20.334462086646482</v>
      </c>
      <c r="H22" s="2">
        <f t="shared" si="15"/>
        <v>32.226309424729926</v>
      </c>
      <c r="K22" s="6">
        <v>9</v>
      </c>
      <c r="L22" s="2">
        <f t="shared" si="1"/>
        <v>1.8674626274865798</v>
      </c>
      <c r="M22" s="2">
        <f t="shared" si="2"/>
        <v>2.0754877447208426</v>
      </c>
      <c r="N22" s="2">
        <f t="shared" si="3"/>
        <v>2.4244648493166396</v>
      </c>
      <c r="O22" s="2">
        <f t="shared" si="4"/>
        <v>3.0726449051973566</v>
      </c>
      <c r="P22" s="2">
        <f t="shared" si="5"/>
        <v>4.3210731934123769</v>
      </c>
      <c r="Q22" s="2">
        <f t="shared" si="6"/>
        <v>6.8480907527551089</v>
      </c>
      <c r="T22" s="6">
        <v>9</v>
      </c>
      <c r="U22" s="2">
        <f t="shared" si="7"/>
        <v>6.1907418885320284</v>
      </c>
      <c r="V22" s="2">
        <f t="shared" si="8"/>
        <v>6.8803566568137526</v>
      </c>
      <c r="W22" s="2">
        <f t="shared" si="9"/>
        <v>8.0372350584273597</v>
      </c>
      <c r="X22" s="2">
        <f t="shared" si="10"/>
        <v>10.185987790712293</v>
      </c>
      <c r="Y22" s="2">
        <f t="shared" si="11"/>
        <v>14.324596609397531</v>
      </c>
      <c r="Z22" s="2">
        <f t="shared" si="12"/>
        <v>22.701799573150787</v>
      </c>
      <c r="AB22" s="11">
        <f t="shared" si="13"/>
        <v>0.21249999999999999</v>
      </c>
      <c r="AD22" s="12">
        <f>IFERROR(macrs($D$3,$D$4,$AF22,$T22,TRUE),1)</f>
        <v>0.70444925212968412</v>
      </c>
      <c r="AF22" s="7">
        <v>0</v>
      </c>
    </row>
    <row r="23" spans="2:32" x14ac:dyDescent="0.25">
      <c r="B23" s="6">
        <v>10</v>
      </c>
      <c r="C23" s="8">
        <v>8.0737324076056556</v>
      </c>
      <c r="D23" s="2">
        <f t="shared" si="17"/>
        <v>8.7880594234662581</v>
      </c>
      <c r="E23" s="2">
        <f t="shared" si="15"/>
        <v>9.767001151627495</v>
      </c>
      <c r="F23" s="2">
        <f t="shared" si="15"/>
        <v>11.409246349725363</v>
      </c>
      <c r="G23" s="2">
        <f t="shared" si="15"/>
        <v>14.459505436222855</v>
      </c>
      <c r="H23" s="2">
        <f t="shared" si="15"/>
        <v>20.334462086646482</v>
      </c>
      <c r="K23" s="6">
        <v>10</v>
      </c>
      <c r="L23" s="2">
        <f t="shared" si="1"/>
        <v>1.917511446806343</v>
      </c>
      <c r="M23" s="2">
        <f t="shared" si="2"/>
        <v>2.0871641130732361</v>
      </c>
      <c r="N23" s="2">
        <f t="shared" si="3"/>
        <v>2.3196627735115301</v>
      </c>
      <c r="O23" s="2">
        <f t="shared" si="4"/>
        <v>2.7096960080597734</v>
      </c>
      <c r="P23" s="2">
        <f t="shared" si="5"/>
        <v>3.4341325411029278</v>
      </c>
      <c r="Q23" s="2">
        <f t="shared" si="6"/>
        <v>4.8294347455785394</v>
      </c>
      <c r="T23" s="6">
        <v>10</v>
      </c>
      <c r="U23" s="2">
        <f t="shared" si="7"/>
        <v>6.0546420873826374</v>
      </c>
      <c r="V23" s="2">
        <f t="shared" si="8"/>
        <v>6.5903292015988333</v>
      </c>
      <c r="W23" s="2">
        <f t="shared" si="9"/>
        <v>7.3244558098620205</v>
      </c>
      <c r="X23" s="2">
        <f t="shared" si="10"/>
        <v>8.5560060263193609</v>
      </c>
      <c r="Y23" s="2">
        <f t="shared" si="11"/>
        <v>10.843452043867764</v>
      </c>
      <c r="Z23" s="2">
        <f t="shared" si="12"/>
        <v>15.249191298205062</v>
      </c>
      <c r="AB23" s="11">
        <f t="shared" si="13"/>
        <v>0.23749999999999999</v>
      </c>
      <c r="AD23" s="12">
        <f>IFERROR(macrs($D$3,$D$4,$AF23,$T23,TRUE),1)</f>
        <v>0.74991859795588656</v>
      </c>
      <c r="AF23" s="7">
        <v>0</v>
      </c>
    </row>
    <row r="24" spans="2:32" x14ac:dyDescent="0.25">
      <c r="B24" s="6">
        <v>11</v>
      </c>
      <c r="C24" s="8">
        <v>7.4500312697437865</v>
      </c>
      <c r="D24" s="2">
        <f t="shared" si="17"/>
        <v>8.0737324076056556</v>
      </c>
      <c r="E24" s="2">
        <f t="shared" si="15"/>
        <v>8.7880594234662581</v>
      </c>
      <c r="F24" s="2">
        <f t="shared" si="15"/>
        <v>9.767001151627495</v>
      </c>
      <c r="G24" s="2">
        <f t="shared" si="15"/>
        <v>11.409246349725363</v>
      </c>
      <c r="H24" s="2">
        <f t="shared" si="15"/>
        <v>14.459505436222855</v>
      </c>
      <c r="K24" s="6">
        <v>11</v>
      </c>
      <c r="L24" s="2">
        <f t="shared" si="1"/>
        <v>1.9556332083077441</v>
      </c>
      <c r="M24" s="2">
        <f t="shared" si="2"/>
        <v>2.1193547569964846</v>
      </c>
      <c r="N24" s="2">
        <f t="shared" si="3"/>
        <v>2.3068655986598929</v>
      </c>
      <c r="O24" s="2">
        <f t="shared" si="4"/>
        <v>2.5638378023022175</v>
      </c>
      <c r="P24" s="2">
        <f t="shared" si="5"/>
        <v>2.994927166802908</v>
      </c>
      <c r="Q24" s="2">
        <f t="shared" si="6"/>
        <v>3.7956201770084999</v>
      </c>
      <c r="T24" s="6">
        <v>11</v>
      </c>
      <c r="U24" s="2">
        <f t="shared" si="7"/>
        <v>5.925665052753776</v>
      </c>
      <c r="V24" s="2">
        <f t="shared" si="8"/>
        <v>6.4217494183322774</v>
      </c>
      <c r="W24" s="2">
        <f t="shared" si="9"/>
        <v>6.9899165146656372</v>
      </c>
      <c r="X24" s="2">
        <f t="shared" si="10"/>
        <v>7.7685549629102884</v>
      </c>
      <c r="Y24" s="2">
        <f t="shared" si="11"/>
        <v>9.0747769942113603</v>
      </c>
      <c r="Z24" s="2">
        <f t="shared" si="12"/>
        <v>11.500916297023235</v>
      </c>
      <c r="AB24" s="11">
        <f t="shared" si="13"/>
        <v>0.26250000000000001</v>
      </c>
      <c r="AD24" s="12">
        <f>IFERROR(macrs($D$3,$D$4,$AF24,$T24,TRUE),1)</f>
        <v>0.79538794378208899</v>
      </c>
      <c r="AF24" s="7">
        <v>0</v>
      </c>
    </row>
    <row r="25" spans="2:32" x14ac:dyDescent="0.25">
      <c r="B25" s="6">
        <v>12</v>
      </c>
      <c r="C25" s="8">
        <v>6.0406539087400368</v>
      </c>
      <c r="D25" s="2">
        <f t="shared" si="17"/>
        <v>7.4500312697437865</v>
      </c>
      <c r="E25" s="2">
        <f t="shared" si="15"/>
        <v>8.0737324076056556</v>
      </c>
      <c r="F25" s="2">
        <f t="shared" si="15"/>
        <v>8.7880594234662581</v>
      </c>
      <c r="G25" s="2">
        <f t="shared" si="15"/>
        <v>9.767001151627495</v>
      </c>
      <c r="H25" s="2">
        <f t="shared" si="15"/>
        <v>11.409246349725363</v>
      </c>
      <c r="K25" s="6">
        <v>12</v>
      </c>
      <c r="L25" s="2">
        <f t="shared" si="1"/>
        <v>1.7366879987627604</v>
      </c>
      <c r="M25" s="2">
        <f t="shared" si="2"/>
        <v>2.1418839900513387</v>
      </c>
      <c r="N25" s="2">
        <f t="shared" si="3"/>
        <v>2.3211980671866259</v>
      </c>
      <c r="O25" s="2">
        <f t="shared" si="4"/>
        <v>2.5265670842465489</v>
      </c>
      <c r="P25" s="2">
        <f t="shared" si="5"/>
        <v>2.8080128310929044</v>
      </c>
      <c r="Q25" s="2">
        <f t="shared" si="6"/>
        <v>3.2801583255460414</v>
      </c>
      <c r="T25" s="6">
        <v>12</v>
      </c>
      <c r="U25" s="2">
        <f t="shared" si="7"/>
        <v>5.0793278731648783</v>
      </c>
      <c r="V25" s="2">
        <f t="shared" si="8"/>
        <v>6.264413100973778</v>
      </c>
      <c r="W25" s="2">
        <f t="shared" si="9"/>
        <v>6.7888567492819165</v>
      </c>
      <c r="X25" s="2">
        <f t="shared" si="10"/>
        <v>7.3895038277324421</v>
      </c>
      <c r="Y25" s="2">
        <f t="shared" si="11"/>
        <v>8.2126541159585571</v>
      </c>
      <c r="Z25" s="2">
        <f t="shared" si="12"/>
        <v>9.5935479621033615</v>
      </c>
      <c r="AB25" s="11">
        <f t="shared" si="13"/>
        <v>0.28749999999999998</v>
      </c>
      <c r="AD25" s="12">
        <f>IFERROR(macrs($D$3,$D$4,$AF25,$T25,TRUE),1)</f>
        <v>0.84085728960829142</v>
      </c>
      <c r="AF25" s="7">
        <v>0</v>
      </c>
    </row>
    <row r="26" spans="2:32" x14ac:dyDescent="0.25">
      <c r="B26" s="6">
        <v>13</v>
      </c>
      <c r="C26" s="8">
        <v>0.10134020815194654</v>
      </c>
      <c r="D26" s="2">
        <f t="shared" si="17"/>
        <v>6.0406539087400368</v>
      </c>
      <c r="E26" s="2">
        <f t="shared" si="15"/>
        <v>7.4500312697437865</v>
      </c>
      <c r="F26" s="2">
        <f t="shared" si="15"/>
        <v>8.0737324076056556</v>
      </c>
      <c r="G26" s="2">
        <f t="shared" si="15"/>
        <v>8.7880594234662581</v>
      </c>
      <c r="H26" s="2">
        <f t="shared" si="15"/>
        <v>9.767001151627495</v>
      </c>
      <c r="K26" s="6">
        <v>13</v>
      </c>
      <c r="L26" s="2">
        <f t="shared" si="1"/>
        <v>3.1668815047483291E-2</v>
      </c>
      <c r="M26" s="2">
        <f t="shared" si="2"/>
        <v>1.8877043464812615</v>
      </c>
      <c r="N26" s="2">
        <f t="shared" si="3"/>
        <v>2.3281347717949332</v>
      </c>
      <c r="O26" s="2">
        <f t="shared" si="4"/>
        <v>2.5230413773767673</v>
      </c>
      <c r="P26" s="2">
        <f t="shared" si="5"/>
        <v>2.7462685698332057</v>
      </c>
      <c r="Q26" s="2">
        <f t="shared" si="6"/>
        <v>3.0521878598835923</v>
      </c>
      <c r="T26" s="6">
        <v>13</v>
      </c>
      <c r="U26" s="2">
        <f t="shared" si="7"/>
        <v>8.9820525725546038E-2</v>
      </c>
      <c r="V26" s="2">
        <f t="shared" si="8"/>
        <v>5.3539924547577806</v>
      </c>
      <c r="W26" s="2">
        <f t="shared" si="9"/>
        <v>6.6031611491937801</v>
      </c>
      <c r="X26" s="2">
        <f t="shared" si="10"/>
        <v>7.1559640802315565</v>
      </c>
      <c r="Y26" s="2">
        <f t="shared" si="11"/>
        <v>7.789091140799246</v>
      </c>
      <c r="Z26" s="2">
        <f t="shared" si="12"/>
        <v>8.6567532690068241</v>
      </c>
      <c r="AB26" s="11">
        <f t="shared" si="13"/>
        <v>0.3125</v>
      </c>
      <c r="AD26" s="12">
        <f>IFERROR(macrs($D$3,$D$4,$AF26,$T26,TRUE),1)</f>
        <v>0.88632663543449386</v>
      </c>
      <c r="AF26" s="7">
        <v>0</v>
      </c>
    </row>
    <row r="27" spans="2:32" x14ac:dyDescent="0.25">
      <c r="B27" s="6">
        <v>14</v>
      </c>
      <c r="C27" s="8">
        <v>5.8695006287089825E-2</v>
      </c>
      <c r="D27" s="2">
        <f t="shared" si="17"/>
        <v>0.10134020815194654</v>
      </c>
      <c r="E27" s="2">
        <f t="shared" si="15"/>
        <v>6.0406539087400368</v>
      </c>
      <c r="F27" s="2">
        <f t="shared" si="15"/>
        <v>7.4500312697437865</v>
      </c>
      <c r="G27" s="2">
        <f t="shared" si="15"/>
        <v>8.0737324076056556</v>
      </c>
      <c r="H27" s="2">
        <f t="shared" si="15"/>
        <v>8.7880594234662581</v>
      </c>
      <c r="K27" s="6">
        <v>14</v>
      </c>
      <c r="L27" s="2">
        <f t="shared" si="1"/>
        <v>1.9809564621892817E-2</v>
      </c>
      <c r="M27" s="2">
        <f t="shared" si="2"/>
        <v>3.4202320251281962E-2</v>
      </c>
      <c r="N27" s="2">
        <f t="shared" si="3"/>
        <v>2.0387206941997627</v>
      </c>
      <c r="O27" s="2">
        <f t="shared" si="4"/>
        <v>2.5143855535385282</v>
      </c>
      <c r="P27" s="2">
        <f t="shared" si="5"/>
        <v>2.724884687566909</v>
      </c>
      <c r="Q27" s="2">
        <f t="shared" si="6"/>
        <v>2.9659700554198625</v>
      </c>
      <c r="T27" s="6">
        <v>14</v>
      </c>
      <c r="U27" s="2">
        <f t="shared" si="7"/>
        <v>5.4691770978381599E-2</v>
      </c>
      <c r="V27" s="2">
        <f t="shared" si="8"/>
        <v>9.4428398696106239E-2</v>
      </c>
      <c r="W27" s="2">
        <f t="shared" si="9"/>
        <v>5.6286570363506829</v>
      </c>
      <c r="X27" s="2">
        <f t="shared" si="10"/>
        <v>6.941909197413783</v>
      </c>
      <c r="Y27" s="2">
        <f t="shared" si="11"/>
        <v>7.5230714111811956</v>
      </c>
      <c r="Z27" s="2">
        <f t="shared" si="12"/>
        <v>8.1886784538660518</v>
      </c>
      <c r="AB27" s="11">
        <f t="shared" si="13"/>
        <v>0.33750000000000002</v>
      </c>
      <c r="AD27" s="12">
        <f>IFERROR(macrs($D$3,$D$4,$AF27,$T27,TRUE),1)</f>
        <v>0.93179598126069629</v>
      </c>
      <c r="AF27" s="7">
        <v>0</v>
      </c>
    </row>
    <row r="28" spans="2:32" x14ac:dyDescent="0.25">
      <c r="B28" s="6">
        <v>15</v>
      </c>
      <c r="C28" s="8">
        <v>31.273239797035117</v>
      </c>
      <c r="D28" s="2">
        <f t="shared" si="17"/>
        <v>5.8695006287089825E-2</v>
      </c>
      <c r="E28" s="2">
        <f t="shared" si="15"/>
        <v>0.10134020815194654</v>
      </c>
      <c r="F28" s="2">
        <f t="shared" si="15"/>
        <v>6.0406539087400368</v>
      </c>
      <c r="G28" s="2">
        <f t="shared" si="15"/>
        <v>7.4500312697437865</v>
      </c>
      <c r="H28" s="2">
        <f t="shared" si="15"/>
        <v>8.0737324076056556</v>
      </c>
      <c r="K28" s="6">
        <v>15</v>
      </c>
      <c r="L28" s="2">
        <f t="shared" si="1"/>
        <v>11.336549426425229</v>
      </c>
      <c r="M28" s="2">
        <f t="shared" si="2"/>
        <v>2.127693977907006E-2</v>
      </c>
      <c r="N28" s="2">
        <f t="shared" si="3"/>
        <v>3.6735825455080619E-2</v>
      </c>
      <c r="O28" s="2">
        <f t="shared" si="4"/>
        <v>2.1897370419182631</v>
      </c>
      <c r="P28" s="2">
        <f t="shared" si="5"/>
        <v>2.7006363352821223</v>
      </c>
      <c r="Q28" s="2">
        <f t="shared" si="6"/>
        <v>2.9267279977570499</v>
      </c>
      <c r="T28" s="6">
        <v>15</v>
      </c>
      <c r="U28" s="2">
        <f t="shared" si="7"/>
        <v>30.562252919316542</v>
      </c>
      <c r="V28" s="2">
        <f t="shared" si="8"/>
        <v>5.7360594517520416E-2</v>
      </c>
      <c r="W28" s="2">
        <f t="shared" si="9"/>
        <v>9.9036271666666439E-2</v>
      </c>
      <c r="X28" s="2">
        <f t="shared" si="10"/>
        <v>5.9033216179435852</v>
      </c>
      <c r="Y28" s="2">
        <f t="shared" si="11"/>
        <v>7.280657245633785</v>
      </c>
      <c r="Z28" s="2">
        <f t="shared" si="12"/>
        <v>7.8901787421308356</v>
      </c>
      <c r="AB28" s="11">
        <f t="shared" si="13"/>
        <v>0.36249999999999999</v>
      </c>
      <c r="AD28" s="12">
        <f>IFERROR(macrs($D$3,$D$4,$AF28,$T28,TRUE),1)</f>
        <v>0.97726532708689873</v>
      </c>
      <c r="AF28" s="7">
        <v>0</v>
      </c>
    </row>
    <row r="29" spans="2:32" x14ac:dyDescent="0.25">
      <c r="B29" s="6">
        <v>16</v>
      </c>
      <c r="C29" s="8">
        <v>0</v>
      </c>
      <c r="D29" s="2">
        <f t="shared" si="17"/>
        <v>31.273239797035117</v>
      </c>
      <c r="E29" s="2">
        <f t="shared" si="15"/>
        <v>5.8695006287089825E-2</v>
      </c>
      <c r="F29" s="2">
        <f t="shared" si="15"/>
        <v>0.10134020815194654</v>
      </c>
      <c r="G29" s="2">
        <f t="shared" si="15"/>
        <v>6.0406539087400368</v>
      </c>
      <c r="H29" s="2">
        <f t="shared" si="15"/>
        <v>7.4500312697437865</v>
      </c>
      <c r="K29" s="6">
        <v>16</v>
      </c>
      <c r="L29" s="2">
        <f t="shared" si="1"/>
        <v>0</v>
      </c>
      <c r="M29" s="2">
        <f t="shared" si="2"/>
        <v>12.118380421351109</v>
      </c>
      <c r="N29" s="2">
        <f t="shared" si="3"/>
        <v>2.2744314936247307E-2</v>
      </c>
      <c r="O29" s="2">
        <f t="shared" si="4"/>
        <v>3.9269330658879283E-2</v>
      </c>
      <c r="P29" s="2">
        <f t="shared" si="5"/>
        <v>2.3407533896367645</v>
      </c>
      <c r="Q29" s="2">
        <f t="shared" si="6"/>
        <v>2.8868871170257173</v>
      </c>
      <c r="T29" s="6">
        <v>16</v>
      </c>
      <c r="U29" s="2">
        <f t="shared" si="7"/>
        <v>0</v>
      </c>
      <c r="V29" s="2">
        <f t="shared" si="8"/>
        <v>31.273239797035117</v>
      </c>
      <c r="W29" s="2">
        <f t="shared" si="9"/>
        <v>5.8695006287089825E-2</v>
      </c>
      <c r="X29" s="2">
        <f t="shared" si="10"/>
        <v>0.10134020815194654</v>
      </c>
      <c r="Y29" s="2">
        <f t="shared" si="11"/>
        <v>6.0406539087400368</v>
      </c>
      <c r="Z29" s="2">
        <f t="shared" si="12"/>
        <v>7.4500312697437865</v>
      </c>
      <c r="AB29" s="11">
        <f t="shared" si="13"/>
        <v>0.38750000000000001</v>
      </c>
      <c r="AD29" s="12">
        <f>IFERROR(macrs($D$3,$D$4,$AF29,$T29,TRUE),1)</f>
        <v>1</v>
      </c>
      <c r="AF29" s="7">
        <v>0</v>
      </c>
    </row>
    <row r="30" spans="2:32" x14ac:dyDescent="0.25">
      <c r="B30" s="6">
        <v>17</v>
      </c>
      <c r="C30" s="8">
        <v>0</v>
      </c>
      <c r="D30" s="2">
        <f t="shared" si="17"/>
        <v>0</v>
      </c>
      <c r="E30" s="2">
        <f t="shared" si="15"/>
        <v>31.273239797035117</v>
      </c>
      <c r="F30" s="2">
        <f t="shared" si="15"/>
        <v>5.8695006287089825E-2</v>
      </c>
      <c r="G30" s="2">
        <f t="shared" si="15"/>
        <v>0.10134020815194654</v>
      </c>
      <c r="H30" s="2">
        <f t="shared" si="15"/>
        <v>6.0406539087400368</v>
      </c>
      <c r="K30" s="6">
        <v>17</v>
      </c>
      <c r="L30" s="2">
        <f t="shared" si="1"/>
        <v>0</v>
      </c>
      <c r="M30" s="2">
        <f t="shared" si="2"/>
        <v>0</v>
      </c>
      <c r="N30" s="2">
        <f t="shared" si="3"/>
        <v>12.900211416276985</v>
      </c>
      <c r="O30" s="2">
        <f t="shared" si="4"/>
        <v>2.421169009342455E-2</v>
      </c>
      <c r="P30" s="2">
        <f t="shared" si="5"/>
        <v>4.1802835862677946E-2</v>
      </c>
      <c r="Q30" s="2">
        <f t="shared" si="6"/>
        <v>2.491769737355265</v>
      </c>
      <c r="T30" s="6">
        <v>17</v>
      </c>
      <c r="U30" s="2">
        <f t="shared" si="7"/>
        <v>0</v>
      </c>
      <c r="V30" s="2">
        <f t="shared" si="8"/>
        <v>0</v>
      </c>
      <c r="W30" s="2">
        <f t="shared" si="9"/>
        <v>31.273239797035117</v>
      </c>
      <c r="X30" s="2">
        <f t="shared" si="10"/>
        <v>5.8695006287089825E-2</v>
      </c>
      <c r="Y30" s="2">
        <f t="shared" si="11"/>
        <v>0.10134020815194654</v>
      </c>
      <c r="Z30" s="2">
        <f t="shared" si="12"/>
        <v>6.0406539087400368</v>
      </c>
      <c r="AB30" s="11">
        <f t="shared" si="13"/>
        <v>0.41249999999999998</v>
      </c>
      <c r="AD30" s="12">
        <f>IFERROR(macrs($D$3,$D$4,$AF30,$T30,TRUE),1)</f>
        <v>1</v>
      </c>
      <c r="AF30" s="7">
        <v>0</v>
      </c>
    </row>
    <row r="31" spans="2:32" x14ac:dyDescent="0.25">
      <c r="B31" s="6">
        <v>18</v>
      </c>
      <c r="C31" s="8">
        <v>0</v>
      </c>
      <c r="D31" s="2">
        <f t="shared" si="17"/>
        <v>0</v>
      </c>
      <c r="E31" s="2">
        <f t="shared" si="17"/>
        <v>0</v>
      </c>
      <c r="F31" s="2">
        <f t="shared" si="17"/>
        <v>31.273239797035117</v>
      </c>
      <c r="G31" s="2">
        <f t="shared" si="17"/>
        <v>5.8695006287089825E-2</v>
      </c>
      <c r="H31" s="2">
        <f t="shared" si="17"/>
        <v>0.10134020815194654</v>
      </c>
      <c r="K31" s="6">
        <v>18</v>
      </c>
      <c r="L31" s="2">
        <f t="shared" si="1"/>
        <v>0</v>
      </c>
      <c r="M31" s="2">
        <f t="shared" si="2"/>
        <v>0</v>
      </c>
      <c r="N31" s="2">
        <f t="shared" si="3"/>
        <v>0</v>
      </c>
      <c r="O31" s="2">
        <f t="shared" si="4"/>
        <v>13.682042411202865</v>
      </c>
      <c r="P31" s="2">
        <f t="shared" si="5"/>
        <v>2.5679065250601797E-2</v>
      </c>
      <c r="Q31" s="2">
        <f t="shared" si="6"/>
        <v>4.433634106647661E-2</v>
      </c>
      <c r="T31" s="6">
        <v>18</v>
      </c>
      <c r="U31" s="2">
        <f t="shared" si="7"/>
        <v>0</v>
      </c>
      <c r="V31" s="2">
        <f t="shared" si="8"/>
        <v>0</v>
      </c>
      <c r="W31" s="2">
        <f t="shared" si="9"/>
        <v>0</v>
      </c>
      <c r="X31" s="2">
        <f t="shared" si="10"/>
        <v>31.273239797035117</v>
      </c>
      <c r="Y31" s="2">
        <f t="shared" si="11"/>
        <v>5.8695006287089825E-2</v>
      </c>
      <c r="Z31" s="2">
        <f t="shared" si="12"/>
        <v>0.10134020815194654</v>
      </c>
      <c r="AB31" s="11">
        <f t="shared" si="13"/>
        <v>0.4375</v>
      </c>
      <c r="AD31" s="12">
        <f>IFERROR(macrs($D$3,$D$4,$AF31,$T31,TRUE),1)</f>
        <v>1</v>
      </c>
      <c r="AF31" s="7">
        <v>0</v>
      </c>
    </row>
    <row r="32" spans="2:32" x14ac:dyDescent="0.25">
      <c r="B32" s="6">
        <v>19</v>
      </c>
      <c r="C32" s="8">
        <v>4.1321105036681711</v>
      </c>
      <c r="D32" s="2">
        <f t="shared" si="17"/>
        <v>0</v>
      </c>
      <c r="E32" s="2">
        <f t="shared" si="17"/>
        <v>0</v>
      </c>
      <c r="F32" s="2">
        <f t="shared" si="17"/>
        <v>0</v>
      </c>
      <c r="G32" s="2">
        <f t="shared" si="17"/>
        <v>31.273239797035117</v>
      </c>
      <c r="H32" s="2">
        <f t="shared" si="17"/>
        <v>5.8695006287089825E-2</v>
      </c>
      <c r="K32" s="6">
        <v>19</v>
      </c>
      <c r="L32" s="2">
        <f t="shared" si="1"/>
        <v>1.9111011079465292</v>
      </c>
      <c r="M32" s="2">
        <f t="shared" si="2"/>
        <v>0</v>
      </c>
      <c r="N32" s="2">
        <f t="shared" si="3"/>
        <v>0</v>
      </c>
      <c r="O32" s="2">
        <f t="shared" si="4"/>
        <v>0</v>
      </c>
      <c r="P32" s="2">
        <f t="shared" si="5"/>
        <v>14.463873406128743</v>
      </c>
      <c r="Q32" s="2">
        <f t="shared" si="6"/>
        <v>2.7146440407779044E-2</v>
      </c>
      <c r="T32" s="6">
        <v>19</v>
      </c>
      <c r="U32" s="2">
        <f t="shared" si="7"/>
        <v>4.1321105036681711</v>
      </c>
      <c r="V32" s="2">
        <f t="shared" si="8"/>
        <v>0</v>
      </c>
      <c r="W32" s="2">
        <f t="shared" si="9"/>
        <v>0</v>
      </c>
      <c r="X32" s="2">
        <f t="shared" si="10"/>
        <v>0</v>
      </c>
      <c r="Y32" s="2">
        <f t="shared" si="11"/>
        <v>31.273239797035117</v>
      </c>
      <c r="Z32" s="2">
        <f t="shared" si="12"/>
        <v>5.8695006287089825E-2</v>
      </c>
      <c r="AB32" s="11">
        <f t="shared" si="13"/>
        <v>0.46250000000000002</v>
      </c>
      <c r="AD32" s="12">
        <f>IFERROR(macrs($D$3,$D$4,$AF32,$T32,TRUE),1)</f>
        <v>1</v>
      </c>
      <c r="AF32" s="7">
        <v>0</v>
      </c>
    </row>
    <row r="33" spans="2:32" x14ac:dyDescent="0.25">
      <c r="B33" s="6">
        <v>20</v>
      </c>
      <c r="C33" s="8">
        <v>4.37917493812499</v>
      </c>
      <c r="D33" s="2">
        <f t="shared" si="17"/>
        <v>4.1321105036681711</v>
      </c>
      <c r="E33" s="2">
        <f t="shared" si="17"/>
        <v>0</v>
      </c>
      <c r="F33" s="2">
        <f t="shared" si="17"/>
        <v>0</v>
      </c>
      <c r="G33" s="2">
        <f t="shared" si="17"/>
        <v>0</v>
      </c>
      <c r="H33" s="2">
        <f t="shared" si="17"/>
        <v>31.273239797035117</v>
      </c>
      <c r="K33" s="6">
        <v>20</v>
      </c>
      <c r="L33" s="2">
        <f t="shared" si="1"/>
        <v>2.1348477823359326</v>
      </c>
      <c r="M33" s="2">
        <f t="shared" si="2"/>
        <v>2.0144038705382332</v>
      </c>
      <c r="N33" s="2">
        <f t="shared" si="3"/>
        <v>0</v>
      </c>
      <c r="O33" s="2">
        <f t="shared" si="4"/>
        <v>0</v>
      </c>
      <c r="P33" s="2">
        <f t="shared" si="5"/>
        <v>0</v>
      </c>
      <c r="Q33" s="2">
        <f t="shared" si="6"/>
        <v>15.245704401054619</v>
      </c>
      <c r="T33" s="6">
        <v>20</v>
      </c>
      <c r="U33" s="2">
        <f t="shared" si="7"/>
        <v>4.37917493812499</v>
      </c>
      <c r="V33" s="2">
        <f t="shared" si="8"/>
        <v>4.1321105036681711</v>
      </c>
      <c r="W33" s="2">
        <f t="shared" si="9"/>
        <v>0</v>
      </c>
      <c r="X33" s="2">
        <f t="shared" si="10"/>
        <v>0</v>
      </c>
      <c r="Y33" s="2">
        <f t="shared" si="11"/>
        <v>0</v>
      </c>
      <c r="Z33" s="2">
        <f t="shared" si="12"/>
        <v>31.273239797035117</v>
      </c>
      <c r="AB33" s="11">
        <f t="shared" si="13"/>
        <v>0.48749999999999999</v>
      </c>
      <c r="AD33" s="12">
        <f>IFERROR(macrs($D$3,$D$4,$AF33,$T33,TRUE),1)</f>
        <v>1</v>
      </c>
      <c r="AF33" s="7">
        <v>0</v>
      </c>
    </row>
    <row r="34" spans="2:32" x14ac:dyDescent="0.25">
      <c r="B34" s="6">
        <v>21</v>
      </c>
      <c r="C34" s="8">
        <v>4.6174924715625414</v>
      </c>
      <c r="D34" s="2">
        <f t="shared" si="17"/>
        <v>4.37917493812499</v>
      </c>
      <c r="E34" s="2">
        <f t="shared" si="17"/>
        <v>4.1321105036681711</v>
      </c>
      <c r="F34" s="2">
        <f t="shared" si="17"/>
        <v>0</v>
      </c>
      <c r="G34" s="2">
        <f t="shared" si="17"/>
        <v>0</v>
      </c>
      <c r="H34" s="2">
        <f t="shared" si="17"/>
        <v>0</v>
      </c>
      <c r="K34" s="6">
        <v>21</v>
      </c>
      <c r="L34" s="2">
        <f t="shared" si="1"/>
        <v>2.3664648916758022</v>
      </c>
      <c r="M34" s="2">
        <f t="shared" si="2"/>
        <v>2.2443271557890574</v>
      </c>
      <c r="N34" s="2">
        <f t="shared" si="3"/>
        <v>2.1177066331299375</v>
      </c>
      <c r="O34" s="2">
        <f t="shared" si="4"/>
        <v>0</v>
      </c>
      <c r="P34" s="2">
        <f t="shared" si="5"/>
        <v>0</v>
      </c>
      <c r="Q34" s="2">
        <f t="shared" si="6"/>
        <v>0</v>
      </c>
      <c r="T34" s="6">
        <v>21</v>
      </c>
      <c r="U34" s="2">
        <f t="shared" si="7"/>
        <v>4.6174924715625414</v>
      </c>
      <c r="V34" s="2">
        <f t="shared" si="8"/>
        <v>4.37917493812499</v>
      </c>
      <c r="W34" s="2">
        <f t="shared" si="9"/>
        <v>4.1321105036681711</v>
      </c>
      <c r="X34" s="2">
        <f t="shared" si="10"/>
        <v>0</v>
      </c>
      <c r="Y34" s="2">
        <f t="shared" si="11"/>
        <v>0</v>
      </c>
      <c r="Z34" s="2">
        <f t="shared" si="12"/>
        <v>0</v>
      </c>
      <c r="AB34" s="11">
        <f t="shared" si="13"/>
        <v>0.51249999999999996</v>
      </c>
      <c r="AD34" s="12">
        <f>IFERROR(macrs($D$3,$D$4,$AF34,$T34,TRUE),1)</f>
        <v>1</v>
      </c>
      <c r="AF34" s="7">
        <v>0</v>
      </c>
    </row>
    <row r="35" spans="2:32" x14ac:dyDescent="0.25">
      <c r="B35" s="6">
        <v>22</v>
      </c>
      <c r="C35" s="8">
        <v>4.8475663276536585</v>
      </c>
      <c r="D35" s="2">
        <f t="shared" si="17"/>
        <v>4.6174924715625414</v>
      </c>
      <c r="E35" s="2">
        <f t="shared" si="17"/>
        <v>4.37917493812499</v>
      </c>
      <c r="F35" s="2">
        <f t="shared" si="17"/>
        <v>4.1321105036681711</v>
      </c>
      <c r="G35" s="2">
        <f t="shared" si="17"/>
        <v>0</v>
      </c>
      <c r="H35" s="2">
        <f t="shared" si="17"/>
        <v>0</v>
      </c>
      <c r="K35" s="6">
        <v>22</v>
      </c>
      <c r="L35" s="2">
        <f t="shared" si="1"/>
        <v>2.6055669011138414</v>
      </c>
      <c r="M35" s="2">
        <f t="shared" si="2"/>
        <v>2.4819022034648657</v>
      </c>
      <c r="N35" s="2">
        <f t="shared" si="3"/>
        <v>2.3538065292421821</v>
      </c>
      <c r="O35" s="2">
        <f t="shared" si="4"/>
        <v>2.2210093957216417</v>
      </c>
      <c r="P35" s="2">
        <f t="shared" si="5"/>
        <v>0</v>
      </c>
      <c r="Q35" s="2">
        <f t="shared" si="6"/>
        <v>0</v>
      </c>
      <c r="T35" s="6">
        <v>22</v>
      </c>
      <c r="U35" s="2">
        <f t="shared" si="7"/>
        <v>4.8475663276536585</v>
      </c>
      <c r="V35" s="2">
        <f t="shared" si="8"/>
        <v>4.6174924715625414</v>
      </c>
      <c r="W35" s="2">
        <f t="shared" si="9"/>
        <v>4.37917493812499</v>
      </c>
      <c r="X35" s="2">
        <f t="shared" si="10"/>
        <v>4.1321105036681711</v>
      </c>
      <c r="Y35" s="2">
        <f t="shared" si="11"/>
        <v>0</v>
      </c>
      <c r="Z35" s="2">
        <f t="shared" si="12"/>
        <v>0</v>
      </c>
      <c r="AB35" s="11">
        <f t="shared" si="13"/>
        <v>0.53749999999999998</v>
      </c>
      <c r="AD35" s="12">
        <f>IFERROR(macrs($D$3,$D$4,$AF35,$T35,TRUE),1)</f>
        <v>1</v>
      </c>
      <c r="AF35" s="7">
        <v>0</v>
      </c>
    </row>
    <row r="36" spans="2:32" x14ac:dyDescent="0.25">
      <c r="B36" s="6">
        <v>23</v>
      </c>
      <c r="C36" s="8">
        <v>5.0695424749145701</v>
      </c>
      <c r="D36" s="2">
        <f t="shared" si="17"/>
        <v>4.8475663276536585</v>
      </c>
      <c r="E36" s="2">
        <f t="shared" si="17"/>
        <v>4.6174924715625414</v>
      </c>
      <c r="F36" s="2">
        <f t="shared" si="17"/>
        <v>4.37917493812499</v>
      </c>
      <c r="G36" s="2">
        <f t="shared" si="17"/>
        <v>4.1321105036681711</v>
      </c>
      <c r="H36" s="2">
        <f t="shared" si="17"/>
        <v>0</v>
      </c>
      <c r="K36" s="6">
        <v>23</v>
      </c>
      <c r="L36" s="2">
        <f t="shared" si="1"/>
        <v>2.8516176421394457</v>
      </c>
      <c r="M36" s="2">
        <f t="shared" si="2"/>
        <v>2.7267560593051829</v>
      </c>
      <c r="N36" s="2">
        <f t="shared" si="3"/>
        <v>2.5973395152539296</v>
      </c>
      <c r="O36" s="2">
        <f t="shared" si="4"/>
        <v>2.4632859026953069</v>
      </c>
      <c r="P36" s="2">
        <f t="shared" si="5"/>
        <v>2.3243121583133464</v>
      </c>
      <c r="Q36" s="2">
        <f t="shared" si="6"/>
        <v>0</v>
      </c>
      <c r="T36" s="6">
        <v>23</v>
      </c>
      <c r="U36" s="2">
        <f t="shared" si="7"/>
        <v>5.0695424749145701</v>
      </c>
      <c r="V36" s="2">
        <f t="shared" si="8"/>
        <v>4.8475663276536585</v>
      </c>
      <c r="W36" s="2">
        <f t="shared" si="9"/>
        <v>4.6174924715625414</v>
      </c>
      <c r="X36" s="2">
        <f t="shared" si="10"/>
        <v>4.37917493812499</v>
      </c>
      <c r="Y36" s="2">
        <f t="shared" si="11"/>
        <v>4.1321105036681711</v>
      </c>
      <c r="Z36" s="2">
        <f t="shared" si="12"/>
        <v>0</v>
      </c>
      <c r="AB36" s="11">
        <f t="shared" si="13"/>
        <v>0.5625</v>
      </c>
      <c r="AD36" s="12">
        <f>IFERROR(macrs($D$3,$D$4,$AF36,$T36,TRUE),1)</f>
        <v>1</v>
      </c>
      <c r="AF36" s="7">
        <v>0</v>
      </c>
    </row>
    <row r="37" spans="2:32" x14ac:dyDescent="0.25">
      <c r="B37" s="6">
        <v>24</v>
      </c>
      <c r="C37" s="8">
        <v>5.283154491540655</v>
      </c>
      <c r="D37" s="2">
        <f t="shared" si="17"/>
        <v>5.0695424749145701</v>
      </c>
      <c r="E37" s="2">
        <f t="shared" si="17"/>
        <v>4.8475663276536585</v>
      </c>
      <c r="F37" s="2">
        <f t="shared" si="17"/>
        <v>4.6174924715625414</v>
      </c>
      <c r="G37" s="2">
        <f t="shared" si="17"/>
        <v>4.37917493812499</v>
      </c>
      <c r="H37" s="2">
        <f t="shared" si="17"/>
        <v>4.1321105036681711</v>
      </c>
      <c r="K37" s="6">
        <v>24</v>
      </c>
      <c r="L37" s="2">
        <f t="shared" si="1"/>
        <v>3.103853263780135</v>
      </c>
      <c r="M37" s="2">
        <f t="shared" si="2"/>
        <v>2.9783562040123099</v>
      </c>
      <c r="N37" s="2">
        <f t="shared" si="3"/>
        <v>2.8479452174965245</v>
      </c>
      <c r="O37" s="2">
        <f t="shared" si="4"/>
        <v>2.7127768270429931</v>
      </c>
      <c r="P37" s="2">
        <f t="shared" si="5"/>
        <v>2.5727652761484316</v>
      </c>
      <c r="Q37" s="2">
        <f t="shared" si="6"/>
        <v>2.4276149209050506</v>
      </c>
      <c r="T37" s="6">
        <v>24</v>
      </c>
      <c r="U37" s="2">
        <f t="shared" si="7"/>
        <v>5.283154491540655</v>
      </c>
      <c r="V37" s="2">
        <f t="shared" si="8"/>
        <v>5.0695424749145701</v>
      </c>
      <c r="W37" s="2">
        <f t="shared" si="9"/>
        <v>4.8475663276536585</v>
      </c>
      <c r="X37" s="2">
        <f t="shared" si="10"/>
        <v>4.6174924715625414</v>
      </c>
      <c r="Y37" s="2">
        <f t="shared" si="11"/>
        <v>4.37917493812499</v>
      </c>
      <c r="Z37" s="2">
        <f t="shared" si="12"/>
        <v>4.1321105036681711</v>
      </c>
      <c r="AB37" s="11">
        <f t="shared" si="13"/>
        <v>0.58750000000000002</v>
      </c>
      <c r="AD37" s="12">
        <f>IFERROR(macrs($D$3,$D$4,$AF37,$T37,TRUE),1)</f>
        <v>1</v>
      </c>
      <c r="AF37" s="7">
        <v>0</v>
      </c>
    </row>
    <row r="38" spans="2:32" x14ac:dyDescent="0.25">
      <c r="B38" s="6">
        <v>25</v>
      </c>
      <c r="C38" s="8">
        <v>5.4876458870875098</v>
      </c>
      <c r="D38" s="2">
        <f t="shared" si="17"/>
        <v>5.283154491540655</v>
      </c>
      <c r="E38" s="2">
        <f t="shared" si="17"/>
        <v>5.0695424749145701</v>
      </c>
      <c r="F38" s="2">
        <f t="shared" si="17"/>
        <v>4.8475663276536585</v>
      </c>
      <c r="G38" s="2">
        <f t="shared" si="17"/>
        <v>4.6174924715625414</v>
      </c>
      <c r="H38" s="2">
        <f t="shared" si="17"/>
        <v>4.37917493812499</v>
      </c>
      <c r="K38" s="6">
        <v>25</v>
      </c>
      <c r="L38" s="2">
        <f t="shared" si="1"/>
        <v>3.3611831058410999</v>
      </c>
      <c r="M38" s="2">
        <f t="shared" si="2"/>
        <v>3.2359321260686515</v>
      </c>
      <c r="N38" s="2">
        <f t="shared" si="3"/>
        <v>3.1050947658851746</v>
      </c>
      <c r="O38" s="2">
        <f t="shared" si="4"/>
        <v>2.9691343756878661</v>
      </c>
      <c r="P38" s="2">
        <f t="shared" si="5"/>
        <v>2.828214138832057</v>
      </c>
      <c r="Q38" s="2">
        <f t="shared" si="6"/>
        <v>2.6822446496015564</v>
      </c>
      <c r="T38" s="6">
        <v>25</v>
      </c>
      <c r="U38" s="2">
        <f t="shared" si="7"/>
        <v>5.4876458870875098</v>
      </c>
      <c r="V38" s="2">
        <f t="shared" si="8"/>
        <v>5.283154491540655</v>
      </c>
      <c r="W38" s="2">
        <f t="shared" si="9"/>
        <v>5.0695424749145701</v>
      </c>
      <c r="X38" s="2">
        <f t="shared" si="10"/>
        <v>4.8475663276536585</v>
      </c>
      <c r="Y38" s="2">
        <f t="shared" si="11"/>
        <v>4.6174924715625414</v>
      </c>
      <c r="Z38" s="2">
        <f t="shared" si="12"/>
        <v>4.37917493812499</v>
      </c>
      <c r="AB38" s="11">
        <f t="shared" si="13"/>
        <v>0.61250000000000004</v>
      </c>
      <c r="AD38" s="12">
        <f>IFERROR(macrs($D$3,$D$4,$AF38,$T38,TRUE),1)</f>
        <v>1</v>
      </c>
      <c r="AF38" s="7">
        <v>0</v>
      </c>
    </row>
    <row r="39" spans="2:32" x14ac:dyDescent="0.25">
      <c r="B39" s="6">
        <v>26</v>
      </c>
      <c r="C39" s="8">
        <v>5.6816927038035798</v>
      </c>
      <c r="D39" s="2">
        <f t="shared" si="17"/>
        <v>5.4876458870875098</v>
      </c>
      <c r="E39" s="2">
        <f t="shared" si="17"/>
        <v>5.283154491540655</v>
      </c>
      <c r="F39" s="2">
        <f t="shared" si="17"/>
        <v>5.0695424749145701</v>
      </c>
      <c r="G39" s="2">
        <f t="shared" si="17"/>
        <v>4.8475663276536585</v>
      </c>
      <c r="H39" s="2">
        <f t="shared" si="17"/>
        <v>4.6174924715625414</v>
      </c>
      <c r="K39" s="6">
        <v>26</v>
      </c>
      <c r="L39" s="2">
        <f t="shared" si="1"/>
        <v>3.6220790986747819</v>
      </c>
      <c r="M39" s="2">
        <f t="shared" si="2"/>
        <v>3.4983742530182873</v>
      </c>
      <c r="N39" s="2">
        <f t="shared" si="3"/>
        <v>3.3680109883571672</v>
      </c>
      <c r="O39" s="2">
        <f t="shared" si="4"/>
        <v>3.231833327758038</v>
      </c>
      <c r="P39" s="2">
        <f t="shared" si="5"/>
        <v>3.0903235338792072</v>
      </c>
      <c r="Q39" s="2">
        <f t="shared" si="6"/>
        <v>2.94365145062112</v>
      </c>
      <c r="T39" s="6">
        <v>26</v>
      </c>
      <c r="U39" s="2">
        <f t="shared" si="7"/>
        <v>5.6816927038035798</v>
      </c>
      <c r="V39" s="2">
        <f t="shared" si="8"/>
        <v>5.4876458870875098</v>
      </c>
      <c r="W39" s="2">
        <f t="shared" si="9"/>
        <v>5.283154491540655</v>
      </c>
      <c r="X39" s="2">
        <f t="shared" si="10"/>
        <v>5.0695424749145701</v>
      </c>
      <c r="Y39" s="2">
        <f t="shared" si="11"/>
        <v>4.8475663276536585</v>
      </c>
      <c r="Z39" s="2">
        <f t="shared" si="12"/>
        <v>4.6174924715625414</v>
      </c>
      <c r="AB39" s="11">
        <f t="shared" si="13"/>
        <v>0.63749999999999996</v>
      </c>
      <c r="AD39" s="12">
        <f>IFERROR(macrs($D$3,$D$4,$AF39,$T39,TRUE),1)</f>
        <v>1</v>
      </c>
      <c r="AF39" s="7">
        <v>0</v>
      </c>
    </row>
    <row r="40" spans="2:32" x14ac:dyDescent="0.25">
      <c r="B40" s="6">
        <v>27</v>
      </c>
      <c r="C40" s="8">
        <v>5.8632925325621521</v>
      </c>
      <c r="D40" s="2">
        <f t="shared" si="17"/>
        <v>5.6816927038035798</v>
      </c>
      <c r="E40" s="2">
        <f t="shared" si="17"/>
        <v>5.4876458870875098</v>
      </c>
      <c r="F40" s="2">
        <f t="shared" si="17"/>
        <v>5.283154491540655</v>
      </c>
      <c r="G40" s="2">
        <f t="shared" si="17"/>
        <v>5.0695424749145701</v>
      </c>
      <c r="H40" s="2">
        <f t="shared" si="17"/>
        <v>4.8475663276536585</v>
      </c>
      <c r="K40" s="6">
        <v>27</v>
      </c>
      <c r="L40" s="2">
        <f t="shared" si="1"/>
        <v>3.8844313028224255</v>
      </c>
      <c r="M40" s="2">
        <f t="shared" si="2"/>
        <v>3.7641214162698713</v>
      </c>
      <c r="N40" s="2">
        <f t="shared" si="3"/>
        <v>3.6355654001954751</v>
      </c>
      <c r="O40" s="2">
        <f t="shared" si="4"/>
        <v>3.5000898506456837</v>
      </c>
      <c r="P40" s="2">
        <f t="shared" si="5"/>
        <v>3.3585718896309027</v>
      </c>
      <c r="Q40" s="2">
        <f t="shared" si="6"/>
        <v>3.2115126920705488</v>
      </c>
      <c r="T40" s="6">
        <v>27</v>
      </c>
      <c r="U40" s="2">
        <f t="shared" si="7"/>
        <v>5.8632925325621521</v>
      </c>
      <c r="V40" s="2">
        <f t="shared" si="8"/>
        <v>5.6816927038035798</v>
      </c>
      <c r="W40" s="2">
        <f t="shared" si="9"/>
        <v>5.4876458870875098</v>
      </c>
      <c r="X40" s="2">
        <f t="shared" si="10"/>
        <v>5.283154491540655</v>
      </c>
      <c r="Y40" s="2">
        <f t="shared" si="11"/>
        <v>5.0695424749145701</v>
      </c>
      <c r="Z40" s="2">
        <f t="shared" si="12"/>
        <v>4.8475663276536585</v>
      </c>
      <c r="AB40" s="11">
        <f t="shared" si="13"/>
        <v>0.66249999999999998</v>
      </c>
      <c r="AD40" s="12">
        <f>IFERROR(macrs($D$3,$D$4,$AF40,$T40,TRUE),1)</f>
        <v>1</v>
      </c>
      <c r="AF40" s="7">
        <v>0</v>
      </c>
    </row>
    <row r="41" spans="2:32" x14ac:dyDescent="0.25">
      <c r="B41" s="6">
        <v>28</v>
      </c>
      <c r="C41" s="8">
        <v>6.0296560657471279</v>
      </c>
      <c r="D41" s="2">
        <f t="shared" si="17"/>
        <v>5.8632925325621521</v>
      </c>
      <c r="E41" s="2">
        <f t="shared" si="17"/>
        <v>5.6816927038035798</v>
      </c>
      <c r="F41" s="2">
        <f t="shared" si="17"/>
        <v>5.4876458870875098</v>
      </c>
      <c r="G41" s="2">
        <f t="shared" si="17"/>
        <v>5.283154491540655</v>
      </c>
      <c r="H41" s="2">
        <f t="shared" si="17"/>
        <v>5.0695424749145701</v>
      </c>
      <c r="K41" s="6">
        <v>28</v>
      </c>
      <c r="L41" s="2">
        <f t="shared" si="1"/>
        <v>4.1453885452011505</v>
      </c>
      <c r="M41" s="2">
        <f t="shared" si="2"/>
        <v>4.0310136161364793</v>
      </c>
      <c r="N41" s="2">
        <f t="shared" si="3"/>
        <v>3.9061637338649611</v>
      </c>
      <c r="O41" s="2">
        <f t="shared" si="4"/>
        <v>3.772756547372663</v>
      </c>
      <c r="P41" s="2">
        <f t="shared" si="5"/>
        <v>3.6321687129342002</v>
      </c>
      <c r="Q41" s="2">
        <f t="shared" si="6"/>
        <v>3.4853104515037669</v>
      </c>
      <c r="T41" s="6">
        <v>28</v>
      </c>
      <c r="U41" s="2">
        <f t="shared" si="7"/>
        <v>6.0296560657471279</v>
      </c>
      <c r="V41" s="2">
        <f t="shared" si="8"/>
        <v>5.8632925325621521</v>
      </c>
      <c r="W41" s="2">
        <f t="shared" si="9"/>
        <v>5.6816927038035798</v>
      </c>
      <c r="X41" s="2">
        <f t="shared" si="10"/>
        <v>5.4876458870875098</v>
      </c>
      <c r="Y41" s="2">
        <f t="shared" si="11"/>
        <v>5.283154491540655</v>
      </c>
      <c r="Z41" s="2">
        <f t="shared" si="12"/>
        <v>5.0695424749145701</v>
      </c>
      <c r="AB41" s="11">
        <f t="shared" si="13"/>
        <v>0.6875</v>
      </c>
      <c r="AD41" s="12">
        <f>IFERROR(macrs($D$3,$D$4,$AF41,$T41,TRUE),1)</f>
        <v>1</v>
      </c>
      <c r="AF41" s="7">
        <v>0</v>
      </c>
    </row>
    <row r="42" spans="2:32" x14ac:dyDescent="0.25">
      <c r="B42" s="6">
        <v>29</v>
      </c>
      <c r="C42" s="8">
        <v>6.1770554613742732</v>
      </c>
      <c r="D42" s="2">
        <f t="shared" si="17"/>
        <v>6.0296560657471279</v>
      </c>
      <c r="E42" s="2">
        <f t="shared" si="17"/>
        <v>5.8632925325621521</v>
      </c>
      <c r="F42" s="2">
        <f t="shared" si="17"/>
        <v>5.6816927038035798</v>
      </c>
      <c r="G42" s="2">
        <f t="shared" si="17"/>
        <v>5.4876458870875098</v>
      </c>
      <c r="H42" s="2">
        <f t="shared" si="17"/>
        <v>5.283154491540655</v>
      </c>
      <c r="K42" s="6">
        <v>29</v>
      </c>
      <c r="L42" s="2">
        <f t="shared" si="1"/>
        <v>4.4011520162291697</v>
      </c>
      <c r="M42" s="2">
        <f t="shared" si="2"/>
        <v>4.2961299468448289</v>
      </c>
      <c r="N42" s="2">
        <f t="shared" si="3"/>
        <v>4.1775959294505336</v>
      </c>
      <c r="O42" s="2">
        <f t="shared" si="4"/>
        <v>4.0482060514600509</v>
      </c>
      <c r="P42" s="2">
        <f t="shared" si="5"/>
        <v>3.9099476945498508</v>
      </c>
      <c r="Q42" s="2">
        <f t="shared" si="6"/>
        <v>3.7642475752227167</v>
      </c>
      <c r="T42" s="6">
        <v>29</v>
      </c>
      <c r="U42" s="2">
        <f t="shared" si="7"/>
        <v>6.1770554613742732</v>
      </c>
      <c r="V42" s="2">
        <f t="shared" si="8"/>
        <v>6.0296560657471279</v>
      </c>
      <c r="W42" s="2">
        <f t="shared" si="9"/>
        <v>5.8632925325621521</v>
      </c>
      <c r="X42" s="2">
        <f t="shared" si="10"/>
        <v>5.6816927038035798</v>
      </c>
      <c r="Y42" s="2">
        <f t="shared" si="11"/>
        <v>5.4876458870875098</v>
      </c>
      <c r="Z42" s="2">
        <f t="shared" si="12"/>
        <v>5.283154491540655</v>
      </c>
      <c r="AB42" s="11">
        <f t="shared" si="13"/>
        <v>0.71250000000000002</v>
      </c>
      <c r="AD42" s="12">
        <f>IFERROR(macrs($D$3,$D$4,$AF42,$T42,TRUE),1)</f>
        <v>1</v>
      </c>
      <c r="AF42" s="7">
        <v>0</v>
      </c>
    </row>
    <row r="43" spans="2:32" x14ac:dyDescent="0.25">
      <c r="B43" s="6">
        <v>30</v>
      </c>
      <c r="C43" s="8">
        <v>6.3006519504903986</v>
      </c>
      <c r="D43" s="2">
        <f t="shared" si="17"/>
        <v>6.1770554613742732</v>
      </c>
      <c r="E43" s="2">
        <f t="shared" si="17"/>
        <v>6.0296560657471279</v>
      </c>
      <c r="F43" s="2">
        <f t="shared" si="17"/>
        <v>5.8632925325621521</v>
      </c>
      <c r="G43" s="2">
        <f t="shared" si="17"/>
        <v>5.6816927038035798</v>
      </c>
      <c r="H43" s="2">
        <f t="shared" si="17"/>
        <v>5.4876458870875098</v>
      </c>
      <c r="K43" s="6">
        <v>30</v>
      </c>
      <c r="L43" s="2">
        <f t="shared" si="1"/>
        <v>4.6467308134866689</v>
      </c>
      <c r="M43" s="2">
        <f t="shared" si="2"/>
        <v>4.5555784027635271</v>
      </c>
      <c r="N43" s="2">
        <f t="shared" si="3"/>
        <v>4.4468713484885072</v>
      </c>
      <c r="O43" s="2">
        <f t="shared" si="4"/>
        <v>4.3241782427645878</v>
      </c>
      <c r="P43" s="2">
        <f t="shared" si="5"/>
        <v>4.1902483690551406</v>
      </c>
      <c r="Q43" s="2">
        <f t="shared" si="6"/>
        <v>4.0471388417270386</v>
      </c>
      <c r="T43" s="6">
        <v>30</v>
      </c>
      <c r="U43" s="2">
        <f t="shared" si="7"/>
        <v>6.3006519504903986</v>
      </c>
      <c r="V43" s="2">
        <f t="shared" si="8"/>
        <v>6.1770554613742732</v>
      </c>
      <c r="W43" s="2">
        <f t="shared" si="9"/>
        <v>6.0296560657471279</v>
      </c>
      <c r="X43" s="2">
        <f t="shared" si="10"/>
        <v>5.8632925325621521</v>
      </c>
      <c r="Y43" s="2">
        <f t="shared" si="11"/>
        <v>5.6816927038035798</v>
      </c>
      <c r="Z43" s="2">
        <f t="shared" si="12"/>
        <v>5.4876458870875098</v>
      </c>
      <c r="AB43" s="11">
        <f t="shared" si="13"/>
        <v>0.73750000000000004</v>
      </c>
      <c r="AD43" s="12">
        <f>IFERROR(macrs($D$3,$D$4,$AF43,$T43,TRUE),1)</f>
        <v>1</v>
      </c>
      <c r="AF43" s="7">
        <v>0</v>
      </c>
    </row>
    <row r="44" spans="2:32" x14ac:dyDescent="0.25">
      <c r="B44" s="6">
        <v>31</v>
      </c>
      <c r="C44" s="8">
        <v>6.3942844165541723</v>
      </c>
      <c r="D44" s="2">
        <f t="shared" si="17"/>
        <v>6.3006519504903986</v>
      </c>
      <c r="E44" s="2">
        <f t="shared" si="17"/>
        <v>6.1770554613742732</v>
      </c>
      <c r="F44" s="2">
        <f t="shared" si="17"/>
        <v>6.0296560657471279</v>
      </c>
      <c r="G44" s="2">
        <f t="shared" si="17"/>
        <v>5.8632925325621521</v>
      </c>
      <c r="H44" s="2">
        <f t="shared" si="17"/>
        <v>5.6816927038035798</v>
      </c>
      <c r="K44" s="6">
        <v>31</v>
      </c>
      <c r="L44" s="2">
        <f t="shared" si="1"/>
        <v>4.8756418676225559</v>
      </c>
      <c r="M44" s="2">
        <f t="shared" si="2"/>
        <v>4.8042471122489285</v>
      </c>
      <c r="N44" s="2">
        <f t="shared" si="3"/>
        <v>4.7100047892978827</v>
      </c>
      <c r="O44" s="2">
        <f t="shared" si="4"/>
        <v>4.5976127501321846</v>
      </c>
      <c r="P44" s="2">
        <f t="shared" si="5"/>
        <v>4.4707605560786403</v>
      </c>
      <c r="Q44" s="2">
        <f t="shared" si="6"/>
        <v>4.3322906866502295</v>
      </c>
      <c r="T44" s="6">
        <v>31</v>
      </c>
      <c r="U44" s="2">
        <f t="shared" si="7"/>
        <v>6.3942844165541723</v>
      </c>
      <c r="V44" s="2">
        <f t="shared" si="8"/>
        <v>6.3006519504903986</v>
      </c>
      <c r="W44" s="2">
        <f t="shared" si="9"/>
        <v>6.1770554613742732</v>
      </c>
      <c r="X44" s="2">
        <f t="shared" si="10"/>
        <v>6.0296560657471279</v>
      </c>
      <c r="Y44" s="2">
        <f t="shared" si="11"/>
        <v>5.8632925325621521</v>
      </c>
      <c r="Z44" s="2">
        <f t="shared" si="12"/>
        <v>5.6816927038035798</v>
      </c>
      <c r="AB44" s="11">
        <f t="shared" si="13"/>
        <v>0.76249999999999996</v>
      </c>
      <c r="AD44" s="12">
        <f>IFERROR(macrs($D$3,$D$4,$AF44,$T44,TRUE),1)</f>
        <v>1</v>
      </c>
      <c r="AF44" s="7">
        <v>0</v>
      </c>
    </row>
    <row r="45" spans="2:32" x14ac:dyDescent="0.25">
      <c r="B45" s="6">
        <v>32</v>
      </c>
      <c r="C45" s="8">
        <v>6.4502450159900997</v>
      </c>
      <c r="D45" s="2">
        <f t="shared" si="17"/>
        <v>6.3942844165541723</v>
      </c>
      <c r="E45" s="2">
        <f t="shared" si="17"/>
        <v>6.3006519504903986</v>
      </c>
      <c r="F45" s="2">
        <f t="shared" si="17"/>
        <v>6.1770554613742732</v>
      </c>
      <c r="G45" s="2">
        <f t="shared" si="17"/>
        <v>6.0296560657471279</v>
      </c>
      <c r="H45" s="2">
        <f t="shared" si="17"/>
        <v>5.8632925325621521</v>
      </c>
      <c r="K45" s="6">
        <v>32</v>
      </c>
      <c r="L45" s="2">
        <f t="shared" si="1"/>
        <v>5.0795679500922031</v>
      </c>
      <c r="M45" s="2">
        <f t="shared" si="2"/>
        <v>5.0354989780364106</v>
      </c>
      <c r="N45" s="2">
        <f t="shared" si="3"/>
        <v>4.961763411011189</v>
      </c>
      <c r="O45" s="2">
        <f t="shared" si="4"/>
        <v>4.8644311758322401</v>
      </c>
      <c r="P45" s="2">
        <f t="shared" si="5"/>
        <v>4.748354151775863</v>
      </c>
      <c r="Q45" s="2">
        <f t="shared" si="6"/>
        <v>4.6173428693926946</v>
      </c>
      <c r="T45" s="6">
        <v>32</v>
      </c>
      <c r="U45" s="2">
        <f t="shared" si="7"/>
        <v>6.4502450159900997</v>
      </c>
      <c r="V45" s="2">
        <f t="shared" si="8"/>
        <v>6.3942844165541723</v>
      </c>
      <c r="W45" s="2">
        <f t="shared" si="9"/>
        <v>6.3006519504903986</v>
      </c>
      <c r="X45" s="2">
        <f t="shared" si="10"/>
        <v>6.1770554613742732</v>
      </c>
      <c r="Y45" s="2">
        <f t="shared" si="11"/>
        <v>6.0296560657471279</v>
      </c>
      <c r="Z45" s="2">
        <f t="shared" si="12"/>
        <v>5.8632925325621521</v>
      </c>
      <c r="AB45" s="11">
        <f t="shared" si="13"/>
        <v>0.78749999999999998</v>
      </c>
      <c r="AD45" s="12">
        <f>IFERROR(macrs($D$3,$D$4,$AF45,$T45,TRUE),1)</f>
        <v>1</v>
      </c>
      <c r="AF45" s="7">
        <v>0</v>
      </c>
    </row>
    <row r="46" spans="2:32" x14ac:dyDescent="0.25">
      <c r="B46" s="6">
        <v>33</v>
      </c>
      <c r="C46" s="8">
        <v>6.4588240531101526</v>
      </c>
      <c r="D46" s="2">
        <f t="shared" si="17"/>
        <v>6.4502450159900997</v>
      </c>
      <c r="E46" s="2">
        <f t="shared" si="17"/>
        <v>6.3942844165541723</v>
      </c>
      <c r="F46" s="2">
        <f t="shared" si="17"/>
        <v>6.3006519504903986</v>
      </c>
      <c r="G46" s="2">
        <f t="shared" si="17"/>
        <v>6.1770554613742732</v>
      </c>
      <c r="H46" s="2">
        <f t="shared" si="17"/>
        <v>6.0296560657471279</v>
      </c>
      <c r="K46" s="6">
        <v>33</v>
      </c>
      <c r="L46" s="2">
        <f t="shared" si="1"/>
        <v>5.2477945431519988</v>
      </c>
      <c r="M46" s="2">
        <f t="shared" si="2"/>
        <v>5.2408240754919557</v>
      </c>
      <c r="N46" s="2">
        <f t="shared" si="3"/>
        <v>5.1953560884502652</v>
      </c>
      <c r="O46" s="2">
        <f t="shared" si="4"/>
        <v>5.1192797097734486</v>
      </c>
      <c r="P46" s="2">
        <f t="shared" si="5"/>
        <v>5.0188575623665965</v>
      </c>
      <c r="Q46" s="2">
        <f t="shared" si="6"/>
        <v>4.8990955534195413</v>
      </c>
      <c r="T46" s="6">
        <v>33</v>
      </c>
      <c r="U46" s="2">
        <f t="shared" si="7"/>
        <v>6.4588240531101526</v>
      </c>
      <c r="V46" s="2">
        <f t="shared" si="8"/>
        <v>6.4502450159900997</v>
      </c>
      <c r="W46" s="2">
        <f t="shared" si="9"/>
        <v>6.3942844165541723</v>
      </c>
      <c r="X46" s="2">
        <f t="shared" si="10"/>
        <v>6.3006519504903986</v>
      </c>
      <c r="Y46" s="2">
        <f t="shared" si="11"/>
        <v>6.1770554613742732</v>
      </c>
      <c r="Z46" s="2">
        <f t="shared" si="12"/>
        <v>6.0296560657471279</v>
      </c>
      <c r="AB46" s="11">
        <f t="shared" si="13"/>
        <v>0.8125</v>
      </c>
      <c r="AD46" s="12">
        <f>IFERROR(macrs($D$3,$D$4,$AF46,$T46,TRUE),1)</f>
        <v>1</v>
      </c>
      <c r="AF46" s="7">
        <v>0</v>
      </c>
    </row>
    <row r="47" spans="2:32" x14ac:dyDescent="0.25">
      <c r="B47" s="6">
        <v>34</v>
      </c>
      <c r="C47" s="8">
        <v>6.4081705359684777</v>
      </c>
      <c r="D47" s="2">
        <f t="shared" si="17"/>
        <v>6.4588240531101526</v>
      </c>
      <c r="E47" s="2">
        <f t="shared" si="17"/>
        <v>6.4502450159900997</v>
      </c>
      <c r="F47" s="2">
        <f t="shared" si="17"/>
        <v>6.3942844165541723</v>
      </c>
      <c r="G47" s="2">
        <f t="shared" si="17"/>
        <v>6.3006519504903986</v>
      </c>
      <c r="H47" s="2">
        <f t="shared" si="17"/>
        <v>6.1770554613742732</v>
      </c>
      <c r="K47" s="6">
        <v>34</v>
      </c>
      <c r="L47" s="2">
        <f t="shared" si="1"/>
        <v>5.3668428238736006</v>
      </c>
      <c r="M47" s="2">
        <f t="shared" si="2"/>
        <v>5.409265144479753</v>
      </c>
      <c r="N47" s="2">
        <f t="shared" si="3"/>
        <v>5.4020802008917084</v>
      </c>
      <c r="O47" s="2">
        <f t="shared" si="4"/>
        <v>5.3552131988641198</v>
      </c>
      <c r="P47" s="2">
        <f t="shared" si="5"/>
        <v>5.2767960085357091</v>
      </c>
      <c r="Q47" s="2">
        <f t="shared" si="6"/>
        <v>5.1732839489009539</v>
      </c>
      <c r="T47" s="6">
        <v>34</v>
      </c>
      <c r="U47" s="2">
        <f t="shared" si="7"/>
        <v>6.4081705359684777</v>
      </c>
      <c r="V47" s="2">
        <f t="shared" si="8"/>
        <v>6.4588240531101526</v>
      </c>
      <c r="W47" s="2">
        <f t="shared" si="9"/>
        <v>6.4502450159900997</v>
      </c>
      <c r="X47" s="2">
        <f t="shared" si="10"/>
        <v>6.3942844165541723</v>
      </c>
      <c r="Y47" s="2">
        <f t="shared" si="11"/>
        <v>6.3006519504903986</v>
      </c>
      <c r="Z47" s="2">
        <f t="shared" si="12"/>
        <v>6.1770554613742732</v>
      </c>
      <c r="AB47" s="11">
        <f t="shared" si="13"/>
        <v>0.83750000000000002</v>
      </c>
      <c r="AD47" s="12">
        <f>IFERROR(macrs($D$3,$D$4,$AF47,$T47,TRUE),1)</f>
        <v>1</v>
      </c>
      <c r="AF47" s="7">
        <v>0</v>
      </c>
    </row>
    <row r="48" spans="2:32" x14ac:dyDescent="0.25">
      <c r="B48" s="6">
        <v>35</v>
      </c>
      <c r="C48" s="8">
        <v>6.2837478290028246</v>
      </c>
      <c r="D48" s="2">
        <f t="shared" si="17"/>
        <v>6.4081705359684777</v>
      </c>
      <c r="E48" s="2">
        <f t="shared" si="17"/>
        <v>6.4588240531101526</v>
      </c>
      <c r="F48" s="2">
        <f t="shared" si="17"/>
        <v>6.4502450159900997</v>
      </c>
      <c r="G48" s="2">
        <f t="shared" si="17"/>
        <v>6.3942844165541723</v>
      </c>
      <c r="H48" s="2">
        <f t="shared" si="17"/>
        <v>6.3006519504903986</v>
      </c>
      <c r="K48" s="6">
        <v>35</v>
      </c>
      <c r="L48" s="2">
        <f t="shared" si="1"/>
        <v>5.4197325025149361</v>
      </c>
      <c r="M48" s="2">
        <f t="shared" si="2"/>
        <v>5.5270470872728126</v>
      </c>
      <c r="N48" s="2">
        <f t="shared" si="3"/>
        <v>5.5707357458075073</v>
      </c>
      <c r="O48" s="2">
        <f t="shared" si="4"/>
        <v>5.563336326291461</v>
      </c>
      <c r="P48" s="2">
        <f t="shared" si="5"/>
        <v>5.5150703092779736</v>
      </c>
      <c r="Q48" s="2">
        <f t="shared" si="6"/>
        <v>5.4343123072979687</v>
      </c>
      <c r="T48" s="6">
        <v>35</v>
      </c>
      <c r="U48" s="2">
        <f t="shared" si="7"/>
        <v>6.2837478290028246</v>
      </c>
      <c r="V48" s="2">
        <f t="shared" si="8"/>
        <v>6.4081705359684777</v>
      </c>
      <c r="W48" s="2">
        <f t="shared" si="9"/>
        <v>6.4588240531101526</v>
      </c>
      <c r="X48" s="2">
        <f t="shared" si="10"/>
        <v>6.4502450159900997</v>
      </c>
      <c r="Y48" s="2">
        <f t="shared" si="11"/>
        <v>6.3942844165541723</v>
      </c>
      <c r="Z48" s="2">
        <f t="shared" si="12"/>
        <v>6.3006519504903986</v>
      </c>
      <c r="AB48" s="11">
        <f t="shared" si="13"/>
        <v>0.86250000000000004</v>
      </c>
      <c r="AD48" s="12">
        <f>IFERROR(macrs($D$3,$D$4,$AF48,$T48,TRUE),1)</f>
        <v>1</v>
      </c>
      <c r="AF48" s="7">
        <v>0</v>
      </c>
    </row>
    <row r="49" spans="2:32" x14ac:dyDescent="0.25">
      <c r="B49" s="6">
        <v>36</v>
      </c>
      <c r="C49" s="8">
        <v>6.0672584335117996</v>
      </c>
      <c r="D49" s="2">
        <f t="shared" si="17"/>
        <v>6.2837478290028246</v>
      </c>
      <c r="E49" s="2">
        <f t="shared" si="17"/>
        <v>6.4081705359684777</v>
      </c>
      <c r="F49" s="2">
        <f t="shared" si="17"/>
        <v>6.4588240531101526</v>
      </c>
      <c r="G49" s="2">
        <f t="shared" si="17"/>
        <v>6.4502450159900997</v>
      </c>
      <c r="H49" s="2">
        <f t="shared" si="17"/>
        <v>6.3942844165541723</v>
      </c>
      <c r="K49" s="6">
        <v>36</v>
      </c>
      <c r="L49" s="2">
        <f t="shared" si="1"/>
        <v>5.3846918597417215</v>
      </c>
      <c r="M49" s="2">
        <f t="shared" si="2"/>
        <v>5.5768261982400062</v>
      </c>
      <c r="N49" s="2">
        <f t="shared" si="3"/>
        <v>5.6872513506720237</v>
      </c>
      <c r="O49" s="2">
        <f t="shared" si="4"/>
        <v>5.7322063471352598</v>
      </c>
      <c r="P49" s="2">
        <f t="shared" si="5"/>
        <v>5.7245924516912128</v>
      </c>
      <c r="Q49" s="2">
        <f t="shared" si="6"/>
        <v>5.6749274196918273</v>
      </c>
      <c r="T49" s="6">
        <v>36</v>
      </c>
      <c r="U49" s="2">
        <f t="shared" si="7"/>
        <v>6.0672584335117996</v>
      </c>
      <c r="V49" s="2">
        <f t="shared" si="8"/>
        <v>6.2837478290028246</v>
      </c>
      <c r="W49" s="2">
        <f t="shared" si="9"/>
        <v>6.4081705359684777</v>
      </c>
      <c r="X49" s="2">
        <f t="shared" si="10"/>
        <v>6.4588240531101526</v>
      </c>
      <c r="Y49" s="2">
        <f t="shared" si="11"/>
        <v>6.4502450159900997</v>
      </c>
      <c r="Z49" s="2">
        <f t="shared" si="12"/>
        <v>6.3942844165541723</v>
      </c>
      <c r="AB49" s="11">
        <f t="shared" si="13"/>
        <v>0.88749999999999996</v>
      </c>
      <c r="AD49" s="12">
        <f>IFERROR(macrs($D$3,$D$4,$AF49,$T49,TRUE),1)</f>
        <v>1</v>
      </c>
      <c r="AF49" s="7">
        <v>0</v>
      </c>
    </row>
    <row r="50" spans="2:32" x14ac:dyDescent="0.25">
      <c r="B50" s="6">
        <v>37</v>
      </c>
      <c r="C50" s="8">
        <v>5.7369831361093091</v>
      </c>
      <c r="D50" s="2">
        <f t="shared" si="17"/>
        <v>6.0672584335117996</v>
      </c>
      <c r="E50" s="2">
        <f t="shared" si="17"/>
        <v>6.2837478290028246</v>
      </c>
      <c r="F50" s="2">
        <f t="shared" si="17"/>
        <v>6.4081705359684777</v>
      </c>
      <c r="G50" s="2">
        <f t="shared" si="17"/>
        <v>6.4588240531101526</v>
      </c>
      <c r="H50" s="2">
        <f t="shared" si="17"/>
        <v>6.4502450159900997</v>
      </c>
      <c r="K50" s="6">
        <v>37</v>
      </c>
      <c r="L50" s="2">
        <f t="shared" si="1"/>
        <v>5.2349971116997445</v>
      </c>
      <c r="M50" s="2">
        <f t="shared" si="2"/>
        <v>5.5363733205795169</v>
      </c>
      <c r="N50" s="2">
        <f t="shared" si="3"/>
        <v>5.7339198939650773</v>
      </c>
      <c r="O50" s="2">
        <f t="shared" si="4"/>
        <v>5.8474556140712357</v>
      </c>
      <c r="P50" s="2">
        <f t="shared" si="5"/>
        <v>5.893676948463014</v>
      </c>
      <c r="Q50" s="2">
        <f t="shared" si="6"/>
        <v>5.8858485770909654</v>
      </c>
      <c r="T50" s="6">
        <v>37</v>
      </c>
      <c r="U50" s="2">
        <f t="shared" si="7"/>
        <v>5.7369831361093091</v>
      </c>
      <c r="V50" s="2">
        <f t="shared" si="8"/>
        <v>6.0672584335117996</v>
      </c>
      <c r="W50" s="2">
        <f t="shared" si="9"/>
        <v>6.2837478290028246</v>
      </c>
      <c r="X50" s="2">
        <f t="shared" si="10"/>
        <v>6.4081705359684777</v>
      </c>
      <c r="Y50" s="2">
        <f t="shared" si="11"/>
        <v>6.4588240531101526</v>
      </c>
      <c r="Z50" s="2">
        <f t="shared" si="12"/>
        <v>6.4502450159900997</v>
      </c>
      <c r="AB50" s="11">
        <f t="shared" si="13"/>
        <v>0.91249999999999998</v>
      </c>
      <c r="AD50" s="12">
        <f>IFERROR(macrs($D$3,$D$4,$AF50,$T50,TRUE),1)</f>
        <v>1</v>
      </c>
      <c r="AF50" s="7">
        <v>0</v>
      </c>
    </row>
    <row r="51" spans="2:32" x14ac:dyDescent="0.25">
      <c r="B51" s="6">
        <v>38</v>
      </c>
      <c r="C51" s="8">
        <v>1.5893599866203485E-2</v>
      </c>
      <c r="D51" s="2">
        <f t="shared" si="17"/>
        <v>5.7369831361093091</v>
      </c>
      <c r="E51" s="2">
        <f t="shared" si="17"/>
        <v>6.0672584335117996</v>
      </c>
      <c r="F51" s="2">
        <f t="shared" si="17"/>
        <v>6.2837478290028246</v>
      </c>
      <c r="G51" s="2">
        <f t="shared" si="17"/>
        <v>6.4081705359684777</v>
      </c>
      <c r="H51" s="2">
        <f t="shared" si="17"/>
        <v>6.4588240531101526</v>
      </c>
      <c r="K51" s="6">
        <v>38</v>
      </c>
      <c r="L51" s="2">
        <f t="shared" si="1"/>
        <v>1.4900249874565768E-2</v>
      </c>
      <c r="M51" s="2">
        <f t="shared" si="2"/>
        <v>5.3784216901024777</v>
      </c>
      <c r="N51" s="2">
        <f t="shared" si="3"/>
        <v>5.6880547814173124</v>
      </c>
      <c r="O51" s="2">
        <f t="shared" si="4"/>
        <v>5.8910135896901483</v>
      </c>
      <c r="P51" s="2">
        <f t="shared" si="5"/>
        <v>6.0076598774704477</v>
      </c>
      <c r="Q51" s="2">
        <f t="shared" si="6"/>
        <v>6.0551475497907683</v>
      </c>
      <c r="T51" s="6">
        <v>38</v>
      </c>
      <c r="U51" s="2">
        <f t="shared" si="7"/>
        <v>1.5893599866203485E-2</v>
      </c>
      <c r="V51" s="2">
        <f t="shared" si="8"/>
        <v>5.7369831361093091</v>
      </c>
      <c r="W51" s="2">
        <f t="shared" si="9"/>
        <v>6.0672584335117996</v>
      </c>
      <c r="X51" s="2">
        <f t="shared" si="10"/>
        <v>6.2837478290028246</v>
      </c>
      <c r="Y51" s="2">
        <f t="shared" si="11"/>
        <v>6.4081705359684777</v>
      </c>
      <c r="Z51" s="2">
        <f t="shared" si="12"/>
        <v>6.4588240531101526</v>
      </c>
      <c r="AB51" s="11">
        <f t="shared" si="13"/>
        <v>0.9375</v>
      </c>
      <c r="AD51" s="12">
        <f>IFERROR(macrs($D$3,$D$4,$AF51,$T51,TRUE),1)</f>
        <v>1</v>
      </c>
      <c r="AF51" s="7">
        <v>0</v>
      </c>
    </row>
    <row r="52" spans="2:32" x14ac:dyDescent="0.25">
      <c r="B52" s="6">
        <v>39</v>
      </c>
      <c r="C52" s="8">
        <v>3.7495941296344575</v>
      </c>
      <c r="D52" s="2">
        <f t="shared" si="17"/>
        <v>1.5893599866203485E-2</v>
      </c>
      <c r="E52" s="2">
        <f t="shared" si="17"/>
        <v>5.7369831361093091</v>
      </c>
      <c r="F52" s="2">
        <f t="shared" si="17"/>
        <v>6.0672584335117996</v>
      </c>
      <c r="G52" s="2">
        <f t="shared" si="17"/>
        <v>6.2837478290028246</v>
      </c>
      <c r="H52" s="2">
        <f t="shared" si="17"/>
        <v>6.4081705359684777</v>
      </c>
      <c r="K52" s="6">
        <v>39</v>
      </c>
      <c r="L52" s="2">
        <f t="shared" si="1"/>
        <v>3.6089843497731655</v>
      </c>
      <c r="M52" s="2">
        <f t="shared" si="2"/>
        <v>1.5297589871220854E-2</v>
      </c>
      <c r="N52" s="2">
        <f t="shared" si="3"/>
        <v>5.5218462685052101</v>
      </c>
      <c r="O52" s="2">
        <f t="shared" si="4"/>
        <v>5.8397362422551069</v>
      </c>
      <c r="P52" s="2">
        <f t="shared" si="5"/>
        <v>6.0481072854152185</v>
      </c>
      <c r="Q52" s="2">
        <f t="shared" si="6"/>
        <v>6.1678641408696597</v>
      </c>
      <c r="T52" s="6">
        <v>39</v>
      </c>
      <c r="U52" s="2">
        <f t="shared" si="7"/>
        <v>3.7495941296344575</v>
      </c>
      <c r="V52" s="2">
        <f t="shared" si="8"/>
        <v>1.5893599866203485E-2</v>
      </c>
      <c r="W52" s="2">
        <f t="shared" si="9"/>
        <v>5.7369831361093091</v>
      </c>
      <c r="X52" s="2">
        <f t="shared" si="10"/>
        <v>6.0672584335117996</v>
      </c>
      <c r="Y52" s="2">
        <f t="shared" si="11"/>
        <v>6.2837478290028246</v>
      </c>
      <c r="Z52" s="2">
        <f t="shared" si="12"/>
        <v>6.4081705359684777</v>
      </c>
      <c r="AB52" s="11">
        <f t="shared" si="13"/>
        <v>0.96250000000000002</v>
      </c>
      <c r="AD52" s="12">
        <f>IFERROR(macrs($D$3,$D$4,$AF52,$T52,TRUE),1)</f>
        <v>1</v>
      </c>
      <c r="AF52" s="7">
        <v>0</v>
      </c>
    </row>
    <row r="53" spans="2:32" x14ac:dyDescent="0.25">
      <c r="B53" s="6">
        <v>40</v>
      </c>
      <c r="C53" s="8">
        <v>0.48642437846614783</v>
      </c>
      <c r="D53" s="2">
        <f t="shared" si="17"/>
        <v>3.7495941296344575</v>
      </c>
      <c r="E53" s="2">
        <f t="shared" si="17"/>
        <v>1.5893599866203485E-2</v>
      </c>
      <c r="F53" s="2">
        <f t="shared" si="17"/>
        <v>5.7369831361093091</v>
      </c>
      <c r="G53" s="2">
        <f t="shared" si="17"/>
        <v>6.0672584335117996</v>
      </c>
      <c r="H53" s="2">
        <f t="shared" si="17"/>
        <v>6.2837478290028246</v>
      </c>
      <c r="K53" s="6">
        <v>40</v>
      </c>
      <c r="L53" s="2">
        <f t="shared" si="1"/>
        <v>0.48034407373532101</v>
      </c>
      <c r="M53" s="2">
        <f t="shared" si="2"/>
        <v>3.7027242030140268</v>
      </c>
      <c r="N53" s="2">
        <f t="shared" si="3"/>
        <v>1.5694929867875941E-2</v>
      </c>
      <c r="O53" s="2">
        <f t="shared" si="4"/>
        <v>5.6652708469079434</v>
      </c>
      <c r="P53" s="2">
        <f t="shared" si="5"/>
        <v>5.9914177030929023</v>
      </c>
      <c r="Q53" s="2">
        <f t="shared" si="6"/>
        <v>6.2052009811402895</v>
      </c>
      <c r="T53" s="6">
        <v>40</v>
      </c>
      <c r="U53" s="2">
        <f t="shared" si="7"/>
        <v>0.48642437846614783</v>
      </c>
      <c r="V53" s="2">
        <f t="shared" si="8"/>
        <v>3.7495941296344575</v>
      </c>
      <c r="W53" s="2">
        <f t="shared" si="9"/>
        <v>1.5893599866203485E-2</v>
      </c>
      <c r="X53" s="2">
        <f t="shared" si="10"/>
        <v>5.7369831361093091</v>
      </c>
      <c r="Y53" s="2">
        <f t="shared" si="11"/>
        <v>6.0672584335117996</v>
      </c>
      <c r="Z53" s="2">
        <f t="shared" si="12"/>
        <v>6.2837478290028246</v>
      </c>
      <c r="AB53" s="11">
        <f t="shared" si="13"/>
        <v>0.98750000000000004</v>
      </c>
      <c r="AD53" s="12">
        <f>IFERROR(macrs($D$3,$D$4,$AF53,$T53,TRUE),1)</f>
        <v>1</v>
      </c>
      <c r="AF53" s="7">
        <v>0</v>
      </c>
    </row>
    <row r="54" spans="2:32" x14ac:dyDescent="0.25">
      <c r="B54" s="6">
        <v>41</v>
      </c>
      <c r="C54" s="8">
        <v>0</v>
      </c>
      <c r="D54" s="2">
        <f t="shared" si="17"/>
        <v>0.48642437846614783</v>
      </c>
      <c r="E54" s="2">
        <f t="shared" si="17"/>
        <v>3.7495941296344575</v>
      </c>
      <c r="F54" s="2">
        <f t="shared" si="17"/>
        <v>1.5893599866203485E-2</v>
      </c>
      <c r="G54" s="2">
        <f t="shared" si="17"/>
        <v>5.7369831361093091</v>
      </c>
      <c r="H54" s="2">
        <f t="shared" si="17"/>
        <v>6.0672584335117996</v>
      </c>
      <c r="K54" s="6">
        <v>41</v>
      </c>
      <c r="L54" s="2">
        <f t="shared" si="1"/>
        <v>0</v>
      </c>
      <c r="M54" s="2">
        <f t="shared" si="2"/>
        <v>0.48642437846614783</v>
      </c>
      <c r="N54" s="2">
        <f t="shared" si="3"/>
        <v>3.7495941296344575</v>
      </c>
      <c r="O54" s="2">
        <f t="shared" si="4"/>
        <v>1.5893599866203485E-2</v>
      </c>
      <c r="P54" s="2">
        <f t="shared" si="5"/>
        <v>5.7369831361093091</v>
      </c>
      <c r="Q54" s="2">
        <f t="shared" si="6"/>
        <v>6.0672584335117996</v>
      </c>
      <c r="T54" s="6">
        <v>41</v>
      </c>
      <c r="U54" s="2">
        <f t="shared" si="7"/>
        <v>0</v>
      </c>
      <c r="V54" s="2">
        <f t="shared" si="8"/>
        <v>0.48642437846614783</v>
      </c>
      <c r="W54" s="2">
        <f t="shared" si="9"/>
        <v>3.7495941296344575</v>
      </c>
      <c r="X54" s="2">
        <f t="shared" si="10"/>
        <v>1.5893599866203485E-2</v>
      </c>
      <c r="Y54" s="2">
        <f t="shared" si="11"/>
        <v>5.7369831361093091</v>
      </c>
      <c r="Z54" s="2">
        <f t="shared" si="12"/>
        <v>6.0672584335117996</v>
      </c>
      <c r="AB54" s="11">
        <f t="shared" si="13"/>
        <v>1</v>
      </c>
      <c r="AD54" s="12">
        <f>IFERROR(macrs($D$3,$D$4,$AF54,$T54,TRUE),1)</f>
        <v>1</v>
      </c>
      <c r="AF54" s="7">
        <v>0</v>
      </c>
    </row>
    <row r="55" spans="2:32" x14ac:dyDescent="0.25">
      <c r="B55" s="6">
        <v>42</v>
      </c>
      <c r="C55" s="2"/>
      <c r="D55" s="2">
        <f>C54+C55</f>
        <v>0</v>
      </c>
      <c r="E55" s="2">
        <f>D54+D55</f>
        <v>0.48642437846614783</v>
      </c>
      <c r="F55" s="2">
        <f>E54+E55</f>
        <v>4.2360185081006057</v>
      </c>
      <c r="G55" s="2">
        <f>F54+F55</f>
        <v>4.2519121079668087</v>
      </c>
      <c r="H55" s="2">
        <f>G54+G55</f>
        <v>9.9888952440761187</v>
      </c>
      <c r="K55" s="6">
        <v>42</v>
      </c>
      <c r="L55" s="2">
        <f t="shared" si="1"/>
        <v>0</v>
      </c>
      <c r="M55" s="2">
        <f t="shared" si="2"/>
        <v>0</v>
      </c>
      <c r="N55" s="2">
        <f t="shared" si="3"/>
        <v>0.48642437846614783</v>
      </c>
      <c r="O55" s="2">
        <f t="shared" si="4"/>
        <v>4.2360185081006057</v>
      </c>
      <c r="P55" s="2">
        <f t="shared" si="5"/>
        <v>4.2519121079668087</v>
      </c>
      <c r="Q55" s="2">
        <f t="shared" si="6"/>
        <v>9.9888952440761187</v>
      </c>
      <c r="T55" s="6">
        <v>42</v>
      </c>
      <c r="U55" s="2">
        <f t="shared" si="7"/>
        <v>0</v>
      </c>
      <c r="V55" s="2">
        <f t="shared" si="8"/>
        <v>0</v>
      </c>
      <c r="W55" s="2">
        <f t="shared" si="9"/>
        <v>0.48642437846614783</v>
      </c>
      <c r="X55" s="2">
        <f t="shared" si="10"/>
        <v>4.2360185081006057</v>
      </c>
      <c r="Y55" s="2">
        <f t="shared" si="11"/>
        <v>4.2519121079668087</v>
      </c>
      <c r="Z55" s="2">
        <f t="shared" si="12"/>
        <v>9.9888952440761187</v>
      </c>
      <c r="AB55" s="11">
        <f t="shared" si="13"/>
        <v>1</v>
      </c>
      <c r="AD55" s="12">
        <f>IFERROR(macrs($D$3,$D$4,$AF55,$T55,TRUE),1)</f>
        <v>1</v>
      </c>
    </row>
    <row r="56" spans="2:32" x14ac:dyDescent="0.25">
      <c r="B56" s="4" t="s">
        <v>11</v>
      </c>
      <c r="C56" s="3">
        <f t="shared" ref="C56:H56" si="19">SUM(C14:C55)</f>
        <v>1469.0000000345221</v>
      </c>
      <c r="D56" s="3">
        <f t="shared" si="19"/>
        <v>1599.0000000345221</v>
      </c>
      <c r="E56" s="3">
        <f t="shared" si="19"/>
        <v>1674.0000000345221</v>
      </c>
      <c r="F56" s="3">
        <f t="shared" si="19"/>
        <v>1709.0000000345221</v>
      </c>
      <c r="G56" s="3">
        <f t="shared" si="19"/>
        <v>1744.0000000345221</v>
      </c>
      <c r="H56" s="3">
        <f t="shared" si="19"/>
        <v>1779.0000000345221</v>
      </c>
      <c r="K56" s="4" t="s">
        <v>11</v>
      </c>
      <c r="L56" s="3">
        <f t="shared" ref="L56:Q56" si="20">SUM(L14:L55)</f>
        <v>156.99874963995174</v>
      </c>
      <c r="M56" s="3">
        <f t="shared" si="20"/>
        <v>195.34266933608393</v>
      </c>
      <c r="N56" s="3">
        <f t="shared" si="20"/>
        <v>236.19613880086493</v>
      </c>
      <c r="O56" s="3">
        <f t="shared" si="20"/>
        <v>278.3775396690271</v>
      </c>
      <c r="P56" s="3">
        <f t="shared" si="20"/>
        <v>321.36202957798963</v>
      </c>
      <c r="Q56" s="3">
        <f t="shared" si="20"/>
        <v>365.0739664673319</v>
      </c>
      <c r="T56" s="4" t="s">
        <v>11</v>
      </c>
      <c r="U56" s="3">
        <f t="shared" ref="U56:Z56" si="21">SUM(U14:U55)</f>
        <v>441.90860809030198</v>
      </c>
      <c r="V56" s="3">
        <f t="shared" si="21"/>
        <v>588.59015318226704</v>
      </c>
      <c r="W56" s="3">
        <f t="shared" si="21"/>
        <v>729.00998936645749</v>
      </c>
      <c r="X56" s="3">
        <f t="shared" si="21"/>
        <v>858.35468811127794</v>
      </c>
      <c r="Y56" s="3">
        <f t="shared" si="21"/>
        <v>975.38972788861679</v>
      </c>
      <c r="Z56" s="3">
        <f t="shared" si="21"/>
        <v>1081.7031070708335</v>
      </c>
    </row>
    <row r="59" spans="2:32" x14ac:dyDescent="0.25">
      <c r="D59" s="2"/>
    </row>
  </sheetData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B2:AO59"/>
  <sheetViews>
    <sheetView showGridLines="0" workbookViewId="0">
      <selection activeCell="A9" sqref="A9:XFD9"/>
    </sheetView>
  </sheetViews>
  <sheetFormatPr defaultRowHeight="15" x14ac:dyDescent="0.25"/>
  <sheetData>
    <row r="2" spans="2:41" x14ac:dyDescent="0.25">
      <c r="B2" t="s">
        <v>5</v>
      </c>
      <c r="D2" s="49">
        <f>Assumptions!H6</f>
        <v>40</v>
      </c>
    </row>
    <row r="3" spans="2:41" x14ac:dyDescent="0.25">
      <c r="B3" t="s">
        <v>6</v>
      </c>
      <c r="D3" s="49">
        <f>Assumptions!H7</f>
        <v>15</v>
      </c>
    </row>
    <row r="4" spans="2:41" x14ac:dyDescent="0.25">
      <c r="B4" t="s">
        <v>25</v>
      </c>
      <c r="D4" s="50">
        <f>Assumptions!H8</f>
        <v>0.5</v>
      </c>
    </row>
    <row r="5" spans="2:41" x14ac:dyDescent="0.25">
      <c r="B5" t="s">
        <v>7</v>
      </c>
      <c r="D5" s="15">
        <f>Assumptions!H5</f>
        <v>0.35499999999999998</v>
      </c>
      <c r="H5" s="2"/>
    </row>
    <row r="6" spans="2:41" x14ac:dyDescent="0.25">
      <c r="H6" s="2"/>
    </row>
    <row r="7" spans="2:41" x14ac:dyDescent="0.25">
      <c r="H7" s="2"/>
    </row>
    <row r="9" spans="2:41" x14ac:dyDescent="0.25">
      <c r="B9" s="1" t="s">
        <v>18</v>
      </c>
      <c r="D9" s="8">
        <v>0</v>
      </c>
      <c r="E9" s="8">
        <v>0</v>
      </c>
      <c r="F9" s="8">
        <v>0</v>
      </c>
      <c r="G9" s="8">
        <v>0</v>
      </c>
      <c r="H9" s="8">
        <v>0</v>
      </c>
    </row>
    <row r="11" spans="2:41" x14ac:dyDescent="0.25">
      <c r="AB11" s="13" t="s">
        <v>22</v>
      </c>
      <c r="AD11" s="13" t="s">
        <v>23</v>
      </c>
    </row>
    <row r="12" spans="2:41" x14ac:dyDescent="0.25">
      <c r="B12" s="1" t="s">
        <v>10</v>
      </c>
      <c r="K12" s="1" t="s">
        <v>12</v>
      </c>
      <c r="T12" s="1" t="s">
        <v>13</v>
      </c>
      <c r="U12" s="1"/>
      <c r="V12" s="1"/>
      <c r="W12" s="1"/>
      <c r="X12" s="1"/>
      <c r="Y12" s="1"/>
      <c r="Z12" s="1"/>
      <c r="AB12" s="13" t="s">
        <v>20</v>
      </c>
      <c r="AD12" s="13" t="s">
        <v>20</v>
      </c>
      <c r="AF12" s="13" t="s">
        <v>21</v>
      </c>
      <c r="AI12" s="1" t="s">
        <v>14</v>
      </c>
    </row>
    <row r="13" spans="2:41" x14ac:dyDescent="0.25">
      <c r="B13" s="1" t="s">
        <v>9</v>
      </c>
      <c r="C13" s="9">
        <v>0</v>
      </c>
      <c r="D13" s="9">
        <v>1</v>
      </c>
      <c r="E13" s="9">
        <v>2</v>
      </c>
      <c r="F13" s="9">
        <v>3</v>
      </c>
      <c r="G13" s="9">
        <v>4</v>
      </c>
      <c r="H13" s="9">
        <v>5</v>
      </c>
      <c r="K13" s="1" t="s">
        <v>9</v>
      </c>
      <c r="L13" s="9">
        <v>0</v>
      </c>
      <c r="M13" s="9">
        <v>1</v>
      </c>
      <c r="N13" s="9">
        <v>2</v>
      </c>
      <c r="O13" s="9">
        <v>3</v>
      </c>
      <c r="P13" s="9">
        <v>4</v>
      </c>
      <c r="Q13" s="9">
        <v>5</v>
      </c>
      <c r="T13" s="1" t="s">
        <v>9</v>
      </c>
      <c r="U13" s="9">
        <v>0</v>
      </c>
      <c r="V13" s="9">
        <v>1</v>
      </c>
      <c r="W13" s="9">
        <v>2</v>
      </c>
      <c r="X13" s="9">
        <v>3</v>
      </c>
      <c r="Y13" s="9">
        <v>4</v>
      </c>
      <c r="Z13" s="9">
        <v>5</v>
      </c>
      <c r="AB13" s="13" t="s">
        <v>24</v>
      </c>
      <c r="AD13" s="13" t="s">
        <v>24</v>
      </c>
      <c r="AF13" s="13" t="s">
        <v>20</v>
      </c>
      <c r="AI13" s="1"/>
      <c r="AJ13" s="9">
        <v>0</v>
      </c>
      <c r="AK13" s="9">
        <v>1</v>
      </c>
      <c r="AL13" s="9">
        <v>2</v>
      </c>
      <c r="AM13" s="9">
        <v>3</v>
      </c>
      <c r="AN13" s="9">
        <v>4</v>
      </c>
      <c r="AO13" s="9">
        <v>5</v>
      </c>
    </row>
    <row r="14" spans="2:41" x14ac:dyDescent="0.25">
      <c r="B14" s="6">
        <v>1</v>
      </c>
      <c r="C14" s="8">
        <v>0</v>
      </c>
      <c r="D14" s="2">
        <f>D9</f>
        <v>0</v>
      </c>
      <c r="E14" s="2">
        <f>E9</f>
        <v>0</v>
      </c>
      <c r="F14" s="2">
        <f>F9</f>
        <v>0</v>
      </c>
      <c r="G14" s="2">
        <f>G9</f>
        <v>0</v>
      </c>
      <c r="H14" s="2">
        <f>H9</f>
        <v>0</v>
      </c>
      <c r="K14" s="6">
        <v>1</v>
      </c>
      <c r="L14" s="2">
        <f t="shared" ref="L14:Q55" si="0">C14*$AB14</f>
        <v>0</v>
      </c>
      <c r="M14" s="2">
        <f t="shared" si="0"/>
        <v>0</v>
      </c>
      <c r="N14" s="2">
        <f t="shared" si="0"/>
        <v>0</v>
      </c>
      <c r="O14" s="2">
        <f t="shared" si="0"/>
        <v>0</v>
      </c>
      <c r="P14" s="2">
        <f t="shared" si="0"/>
        <v>0</v>
      </c>
      <c r="Q14" s="2">
        <f t="shared" si="0"/>
        <v>0</v>
      </c>
      <c r="T14" s="6">
        <v>1</v>
      </c>
      <c r="U14" s="2">
        <f t="shared" ref="U14:Z55" si="1">$AD14*C14</f>
        <v>0</v>
      </c>
      <c r="V14" s="2">
        <f t="shared" si="1"/>
        <v>0</v>
      </c>
      <c r="W14" s="2">
        <f t="shared" si="1"/>
        <v>0</v>
      </c>
      <c r="X14" s="2">
        <f t="shared" si="1"/>
        <v>0</v>
      </c>
      <c r="Y14" s="2">
        <f t="shared" si="1"/>
        <v>0</v>
      </c>
      <c r="Z14" s="2">
        <f t="shared" si="1"/>
        <v>0</v>
      </c>
      <c r="AB14" s="11">
        <f t="shared" ref="AB14:AB55" si="2">MIN(1,($K14-(1-$D$4))/$D$2)</f>
        <v>1.2500000000000001E-2</v>
      </c>
      <c r="AD14" s="12">
        <f>IFERROR(macrs($D$3,$D$4,$AF14,$T14,TRUE),1)</f>
        <v>0.53333333333333333</v>
      </c>
      <c r="AF14" s="7">
        <v>0.5</v>
      </c>
      <c r="AI14" s="5" t="s">
        <v>16</v>
      </c>
      <c r="AJ14" s="2">
        <f t="shared" ref="AJ14:AO14" si="3">L56</f>
        <v>120.00008997007568</v>
      </c>
      <c r="AK14" s="2">
        <f t="shared" si="3"/>
        <v>132.50009301435614</v>
      </c>
      <c r="AL14" s="2">
        <f t="shared" si="3"/>
        <v>145.00009605863656</v>
      </c>
      <c r="AM14" s="2">
        <f t="shared" si="3"/>
        <v>157.50009910291701</v>
      </c>
      <c r="AN14" s="2">
        <f t="shared" si="3"/>
        <v>170.00010214719745</v>
      </c>
      <c r="AO14" s="2">
        <f t="shared" si="3"/>
        <v>182.50010519147787</v>
      </c>
    </row>
    <row r="15" spans="2:41" x14ac:dyDescent="0.25">
      <c r="B15" s="6">
        <v>2</v>
      </c>
      <c r="C15" s="8">
        <v>0</v>
      </c>
      <c r="D15" s="2">
        <f>C14</f>
        <v>0</v>
      </c>
      <c r="E15" s="2">
        <f t="shared" ref="E15:H30" si="4">D14</f>
        <v>0</v>
      </c>
      <c r="F15" s="2">
        <f t="shared" si="4"/>
        <v>0</v>
      </c>
      <c r="G15" s="2">
        <f t="shared" si="4"/>
        <v>0</v>
      </c>
      <c r="H15" s="2">
        <f t="shared" si="4"/>
        <v>0</v>
      </c>
      <c r="K15" s="6">
        <v>2</v>
      </c>
      <c r="L15" s="2">
        <f t="shared" si="0"/>
        <v>0</v>
      </c>
      <c r="M15" s="2">
        <f t="shared" si="0"/>
        <v>0</v>
      </c>
      <c r="N15" s="2">
        <f t="shared" si="0"/>
        <v>0</v>
      </c>
      <c r="O15" s="2">
        <f t="shared" si="0"/>
        <v>0</v>
      </c>
      <c r="P15" s="2">
        <f t="shared" si="0"/>
        <v>0</v>
      </c>
      <c r="Q15" s="2">
        <f t="shared" si="0"/>
        <v>0</v>
      </c>
      <c r="T15" s="6">
        <v>2</v>
      </c>
      <c r="U15" s="2">
        <f t="shared" si="1"/>
        <v>0</v>
      </c>
      <c r="V15" s="2">
        <f t="shared" si="1"/>
        <v>0</v>
      </c>
      <c r="W15" s="2">
        <f t="shared" si="1"/>
        <v>0</v>
      </c>
      <c r="X15" s="2">
        <f t="shared" si="1"/>
        <v>0</v>
      </c>
      <c r="Y15" s="2">
        <f t="shared" si="1"/>
        <v>0</v>
      </c>
      <c r="Z15" s="2">
        <f t="shared" si="1"/>
        <v>0</v>
      </c>
      <c r="AB15" s="11">
        <f t="shared" si="2"/>
        <v>3.7499999999999999E-2</v>
      </c>
      <c r="AD15" s="12">
        <f>IFERROR(macrs($D$3,$D$4,$AF15,$T15,TRUE),1)</f>
        <v>0.5955555555555555</v>
      </c>
      <c r="AF15" s="7">
        <v>0.5</v>
      </c>
      <c r="AI15" s="5" t="s">
        <v>17</v>
      </c>
      <c r="AJ15" s="2">
        <f t="shared" ref="AJ15:AO15" si="5">U56</f>
        <v>492.18731602192702</v>
      </c>
      <c r="AK15" s="2">
        <f t="shared" si="5"/>
        <v>475.55973558852543</v>
      </c>
      <c r="AL15" s="2">
        <f t="shared" si="5"/>
        <v>455.72747830967671</v>
      </c>
      <c r="AM15" s="2">
        <f t="shared" si="5"/>
        <v>464.74037866773199</v>
      </c>
      <c r="AN15" s="2">
        <f t="shared" si="5"/>
        <v>465.19783541251127</v>
      </c>
      <c r="AO15" s="2">
        <f t="shared" si="5"/>
        <v>466.02211941357984</v>
      </c>
    </row>
    <row r="16" spans="2:41" x14ac:dyDescent="0.25">
      <c r="B16" s="6">
        <v>3</v>
      </c>
      <c r="C16" s="8">
        <v>1.832879790849175</v>
      </c>
      <c r="D16" s="2">
        <f t="shared" ref="D16:H54" si="6">C15</f>
        <v>0</v>
      </c>
      <c r="E16" s="2">
        <f t="shared" si="4"/>
        <v>0</v>
      </c>
      <c r="F16" s="2">
        <f t="shared" si="4"/>
        <v>0</v>
      </c>
      <c r="G16" s="2">
        <f t="shared" si="4"/>
        <v>0</v>
      </c>
      <c r="H16" s="2">
        <f t="shared" si="4"/>
        <v>0</v>
      </c>
      <c r="K16" s="6">
        <v>3</v>
      </c>
      <c r="L16" s="2">
        <f t="shared" si="0"/>
        <v>0.11455498692807344</v>
      </c>
      <c r="M16" s="2">
        <f t="shared" si="0"/>
        <v>0</v>
      </c>
      <c r="N16" s="2">
        <f t="shared" si="0"/>
        <v>0</v>
      </c>
      <c r="O16" s="2">
        <f t="shared" si="0"/>
        <v>0</v>
      </c>
      <c r="P16" s="2">
        <f t="shared" si="0"/>
        <v>0</v>
      </c>
      <c r="Q16" s="2">
        <f t="shared" si="0"/>
        <v>0</v>
      </c>
      <c r="T16" s="6">
        <v>3</v>
      </c>
      <c r="U16" s="2">
        <f t="shared" si="1"/>
        <v>1.19042148193819</v>
      </c>
      <c r="V16" s="2">
        <f t="shared" si="1"/>
        <v>0</v>
      </c>
      <c r="W16" s="2">
        <f t="shared" si="1"/>
        <v>0</v>
      </c>
      <c r="X16" s="2">
        <f t="shared" si="1"/>
        <v>0</v>
      </c>
      <c r="Y16" s="2">
        <f t="shared" si="1"/>
        <v>0</v>
      </c>
      <c r="Z16" s="2">
        <f t="shared" si="1"/>
        <v>0</v>
      </c>
      <c r="AB16" s="11">
        <f t="shared" si="2"/>
        <v>6.25E-2</v>
      </c>
      <c r="AD16" s="12">
        <f>IFERROR(macrs($D$3,$D$4,$AF16,$T16,TRUE),1)</f>
        <v>0.64948148148148144</v>
      </c>
      <c r="AF16" s="7">
        <v>0.5</v>
      </c>
      <c r="AI16" s="1" t="s">
        <v>15</v>
      </c>
      <c r="AJ16" s="3">
        <f t="shared" ref="AJ16:AO16" si="7">(AJ15-AJ14)*$D$5</f>
        <v>132.12646524840721</v>
      </c>
      <c r="AK16" s="3">
        <f t="shared" si="7"/>
        <v>121.78617311383009</v>
      </c>
      <c r="AL16" s="3">
        <f t="shared" si="7"/>
        <v>110.30822069911923</v>
      </c>
      <c r="AM16" s="3">
        <f t="shared" si="7"/>
        <v>109.0702992455093</v>
      </c>
      <c r="AN16" s="3">
        <f t="shared" si="7"/>
        <v>104.79519530918638</v>
      </c>
      <c r="AO16" s="3">
        <f t="shared" si="7"/>
        <v>100.6503150488462</v>
      </c>
    </row>
    <row r="17" spans="2:32" x14ac:dyDescent="0.25">
      <c r="B17" s="6">
        <v>4</v>
      </c>
      <c r="C17" s="8">
        <v>1.6400973975169237</v>
      </c>
      <c r="D17" s="2">
        <f t="shared" si="6"/>
        <v>1.832879790849175</v>
      </c>
      <c r="E17" s="2">
        <f t="shared" si="4"/>
        <v>0</v>
      </c>
      <c r="F17" s="2">
        <f t="shared" si="4"/>
        <v>0</v>
      </c>
      <c r="G17" s="2">
        <f t="shared" si="4"/>
        <v>0</v>
      </c>
      <c r="H17" s="2">
        <f t="shared" si="4"/>
        <v>0</v>
      </c>
      <c r="K17" s="6">
        <v>4</v>
      </c>
      <c r="L17" s="2">
        <f t="shared" si="0"/>
        <v>0.14350852228273081</v>
      </c>
      <c r="M17" s="2">
        <f t="shared" si="0"/>
        <v>0.16037698169930281</v>
      </c>
      <c r="N17" s="2">
        <f t="shared" si="0"/>
        <v>0</v>
      </c>
      <c r="O17" s="2">
        <f t="shared" si="0"/>
        <v>0</v>
      </c>
      <c r="P17" s="2">
        <f t="shared" si="0"/>
        <v>0</v>
      </c>
      <c r="Q17" s="2">
        <f t="shared" si="0"/>
        <v>0</v>
      </c>
      <c r="T17" s="6">
        <v>4</v>
      </c>
      <c r="U17" s="2">
        <f t="shared" si="1"/>
        <v>1.1418641555137083</v>
      </c>
      <c r="V17" s="2">
        <f t="shared" si="1"/>
        <v>1.2760825897929879</v>
      </c>
      <c r="W17" s="2">
        <f t="shared" si="1"/>
        <v>0</v>
      </c>
      <c r="X17" s="2">
        <f t="shared" si="1"/>
        <v>0</v>
      </c>
      <c r="Y17" s="2">
        <f t="shared" si="1"/>
        <v>0</v>
      </c>
      <c r="Z17" s="2">
        <f t="shared" si="1"/>
        <v>0</v>
      </c>
      <c r="AB17" s="11">
        <f t="shared" si="2"/>
        <v>8.7499999999999994E-2</v>
      </c>
      <c r="AD17" s="12">
        <f>IFERROR(macrs($D$3,$D$4,$AF17,$T17,TRUE),1)</f>
        <v>0.69621728395061722</v>
      </c>
      <c r="AF17" s="7">
        <v>0.5</v>
      </c>
    </row>
    <row r="18" spans="2:32" x14ac:dyDescent="0.25">
      <c r="B18" s="6">
        <v>5</v>
      </c>
      <c r="C18" s="8">
        <v>1.9086602425324839</v>
      </c>
      <c r="D18" s="2">
        <f t="shared" si="6"/>
        <v>1.6400973975169237</v>
      </c>
      <c r="E18" s="2">
        <f t="shared" si="4"/>
        <v>1.832879790849175</v>
      </c>
      <c r="F18" s="2">
        <f t="shared" si="4"/>
        <v>0</v>
      </c>
      <c r="G18" s="2">
        <f t="shared" si="4"/>
        <v>0</v>
      </c>
      <c r="H18" s="2">
        <f t="shared" si="4"/>
        <v>0</v>
      </c>
      <c r="K18" s="6">
        <v>5</v>
      </c>
      <c r="L18" s="2">
        <f t="shared" si="0"/>
        <v>0.21472427728490445</v>
      </c>
      <c r="M18" s="2">
        <f t="shared" si="0"/>
        <v>0.18451095722065392</v>
      </c>
      <c r="N18" s="2">
        <f t="shared" si="0"/>
        <v>0.20619897647053217</v>
      </c>
      <c r="O18" s="2">
        <f t="shared" si="0"/>
        <v>0</v>
      </c>
      <c r="P18" s="2">
        <f t="shared" si="0"/>
        <v>0</v>
      </c>
      <c r="Q18" s="2">
        <f t="shared" si="0"/>
        <v>0</v>
      </c>
      <c r="T18" s="6">
        <v>5</v>
      </c>
      <c r="U18" s="2">
        <f t="shared" si="1"/>
        <v>1.4061513157060912</v>
      </c>
      <c r="V18" s="2">
        <f t="shared" si="1"/>
        <v>1.2082952544474705</v>
      </c>
      <c r="W18" s="2">
        <f t="shared" si="1"/>
        <v>1.3503222166004796</v>
      </c>
      <c r="X18" s="2">
        <f t="shared" si="1"/>
        <v>0</v>
      </c>
      <c r="Y18" s="2">
        <f t="shared" si="1"/>
        <v>0</v>
      </c>
      <c r="Z18" s="2">
        <f t="shared" si="1"/>
        <v>0</v>
      </c>
      <c r="AB18" s="11">
        <f t="shared" si="2"/>
        <v>0.1125</v>
      </c>
      <c r="AD18" s="12">
        <f>IFERROR(macrs($D$3,$D$4,$AF18,$T18,TRUE),1)</f>
        <v>0.73672164609053492</v>
      </c>
      <c r="AF18" s="7">
        <v>0.5</v>
      </c>
    </row>
    <row r="19" spans="2:32" x14ac:dyDescent="0.25">
      <c r="B19" s="6">
        <v>6</v>
      </c>
      <c r="C19" s="8">
        <v>2.2831117654473712</v>
      </c>
      <c r="D19" s="2">
        <f t="shared" si="6"/>
        <v>1.9086602425324839</v>
      </c>
      <c r="E19" s="2">
        <f t="shared" si="4"/>
        <v>1.6400973975169237</v>
      </c>
      <c r="F19" s="2">
        <f t="shared" si="4"/>
        <v>1.832879790849175</v>
      </c>
      <c r="G19" s="2">
        <f t="shared" si="4"/>
        <v>0</v>
      </c>
      <c r="H19" s="2">
        <f t="shared" si="4"/>
        <v>0</v>
      </c>
      <c r="K19" s="6">
        <v>6</v>
      </c>
      <c r="L19" s="2">
        <f t="shared" si="0"/>
        <v>0.31392786774901354</v>
      </c>
      <c r="M19" s="2">
        <f t="shared" si="0"/>
        <v>0.26244078334821658</v>
      </c>
      <c r="N19" s="2">
        <f t="shared" si="0"/>
        <v>0.22551339215857702</v>
      </c>
      <c r="O19" s="2">
        <f t="shared" si="0"/>
        <v>0.25202097124176159</v>
      </c>
      <c r="P19" s="2">
        <f t="shared" si="0"/>
        <v>0</v>
      </c>
      <c r="Q19" s="2">
        <f t="shared" si="0"/>
        <v>0</v>
      </c>
      <c r="T19" s="6">
        <v>6</v>
      </c>
      <c r="U19" s="2">
        <f t="shared" si="1"/>
        <v>1.7621637123688303</v>
      </c>
      <c r="V19" s="2">
        <f t="shared" si="1"/>
        <v>1.4731525059496102</v>
      </c>
      <c r="W19" s="2">
        <f t="shared" si="1"/>
        <v>1.2658688735233976</v>
      </c>
      <c r="X19" s="2">
        <f t="shared" si="1"/>
        <v>1.4146632265003056</v>
      </c>
      <c r="Y19" s="2">
        <f t="shared" si="1"/>
        <v>0</v>
      </c>
      <c r="Z19" s="2">
        <f t="shared" si="1"/>
        <v>0</v>
      </c>
      <c r="AB19" s="11">
        <f t="shared" si="2"/>
        <v>0.13750000000000001</v>
      </c>
      <c r="AD19" s="12">
        <f>IFERROR(macrs($D$3,$D$4,$AF19,$T19,TRUE),1)</f>
        <v>0.77182542661179698</v>
      </c>
      <c r="AF19" s="7">
        <v>0.5</v>
      </c>
    </row>
    <row r="20" spans="2:32" x14ac:dyDescent="0.25">
      <c r="B20" s="6">
        <v>7</v>
      </c>
      <c r="C20" s="8">
        <v>3.0903519296105229</v>
      </c>
      <c r="D20" s="2">
        <f t="shared" si="6"/>
        <v>2.2831117654473712</v>
      </c>
      <c r="E20" s="2">
        <f t="shared" si="4"/>
        <v>1.9086602425324839</v>
      </c>
      <c r="F20" s="2">
        <f t="shared" si="4"/>
        <v>1.6400973975169237</v>
      </c>
      <c r="G20" s="2">
        <f t="shared" si="4"/>
        <v>1.832879790849175</v>
      </c>
      <c r="H20" s="2">
        <f t="shared" si="4"/>
        <v>0</v>
      </c>
      <c r="K20" s="6">
        <v>7</v>
      </c>
      <c r="L20" s="2">
        <f t="shared" si="0"/>
        <v>0.50218218856170993</v>
      </c>
      <c r="M20" s="2">
        <f t="shared" si="0"/>
        <v>0.37100566188519785</v>
      </c>
      <c r="N20" s="2">
        <f t="shared" si="0"/>
        <v>0.31015728941152865</v>
      </c>
      <c r="O20" s="2">
        <f t="shared" si="0"/>
        <v>0.26651582709650012</v>
      </c>
      <c r="P20" s="2">
        <f t="shared" si="0"/>
        <v>0.29784296601299093</v>
      </c>
      <c r="Q20" s="2">
        <f t="shared" si="0"/>
        <v>0</v>
      </c>
      <c r="T20" s="6">
        <v>7</v>
      </c>
      <c r="U20" s="2">
        <f t="shared" si="1"/>
        <v>2.4792308275400043</v>
      </c>
      <c r="V20" s="2">
        <f t="shared" si="1"/>
        <v>1.8316234527793025</v>
      </c>
      <c r="W20" s="2">
        <f t="shared" si="1"/>
        <v>1.5312202041606602</v>
      </c>
      <c r="X20" s="2">
        <f t="shared" si="1"/>
        <v>1.3157660100558679</v>
      </c>
      <c r="Y20" s="2">
        <f t="shared" si="1"/>
        <v>1.4704254350801551</v>
      </c>
      <c r="Z20" s="2">
        <f t="shared" si="1"/>
        <v>0</v>
      </c>
      <c r="AB20" s="11">
        <f t="shared" si="2"/>
        <v>0.16250000000000001</v>
      </c>
      <c r="AD20" s="12">
        <f>IFERROR(macrs($D$3,$D$4,$AF20,$T20,TRUE),1)</f>
        <v>0.80224870306355744</v>
      </c>
      <c r="AF20" s="7">
        <v>0.5</v>
      </c>
    </row>
    <row r="21" spans="2:32" x14ac:dyDescent="0.25">
      <c r="B21" s="6">
        <v>8</v>
      </c>
      <c r="C21" s="8">
        <v>200.00019453037717</v>
      </c>
      <c r="D21" s="2">
        <f t="shared" si="6"/>
        <v>3.0903519296105229</v>
      </c>
      <c r="E21" s="2">
        <f t="shared" si="4"/>
        <v>2.2831117654473712</v>
      </c>
      <c r="F21" s="2">
        <f t="shared" si="4"/>
        <v>1.9086602425324839</v>
      </c>
      <c r="G21" s="2">
        <f t="shared" si="4"/>
        <v>1.6400973975169237</v>
      </c>
      <c r="H21" s="2">
        <f t="shared" si="4"/>
        <v>1.832879790849175</v>
      </c>
      <c r="K21" s="6">
        <v>8</v>
      </c>
      <c r="L21" s="2">
        <f t="shared" si="0"/>
        <v>37.500036474445722</v>
      </c>
      <c r="M21" s="2">
        <f t="shared" si="0"/>
        <v>0.57944098680197298</v>
      </c>
      <c r="N21" s="2">
        <f t="shared" si="0"/>
        <v>0.42808345602138209</v>
      </c>
      <c r="O21" s="2">
        <f t="shared" si="0"/>
        <v>0.35787379547484072</v>
      </c>
      <c r="P21" s="2">
        <f t="shared" si="0"/>
        <v>0.30751826203442323</v>
      </c>
      <c r="Q21" s="2">
        <f t="shared" si="0"/>
        <v>0.34366496078422032</v>
      </c>
      <c r="T21" s="6">
        <v>8</v>
      </c>
      <c r="U21" s="2">
        <f t="shared" si="1"/>
        <v>200.00019453037717</v>
      </c>
      <c r="V21" s="2">
        <f t="shared" si="1"/>
        <v>3.0903519296105229</v>
      </c>
      <c r="W21" s="2">
        <f t="shared" si="1"/>
        <v>2.2831117654473712</v>
      </c>
      <c r="X21" s="2">
        <f t="shared" si="1"/>
        <v>1.9086602425324839</v>
      </c>
      <c r="Y21" s="2">
        <f t="shared" si="1"/>
        <v>1.6400973975169237</v>
      </c>
      <c r="Z21" s="2">
        <f t="shared" si="1"/>
        <v>1.832879790849175</v>
      </c>
      <c r="AB21" s="11">
        <f t="shared" si="2"/>
        <v>0.1875</v>
      </c>
      <c r="AD21" s="12">
        <f>IFERROR(macrs($D$3,$D$4,$AF21,$T21,TRUE),1)</f>
        <v>1</v>
      </c>
      <c r="AF21" s="7">
        <v>1</v>
      </c>
    </row>
    <row r="22" spans="2:32" x14ac:dyDescent="0.25">
      <c r="B22" s="6">
        <v>9</v>
      </c>
      <c r="C22" s="8">
        <v>152.24465429281551</v>
      </c>
      <c r="D22" s="2">
        <f t="shared" si="6"/>
        <v>200.00019453037717</v>
      </c>
      <c r="E22" s="2">
        <f t="shared" si="4"/>
        <v>3.0903519296105229</v>
      </c>
      <c r="F22" s="2">
        <f t="shared" si="4"/>
        <v>2.2831117654473712</v>
      </c>
      <c r="G22" s="2">
        <f t="shared" si="4"/>
        <v>1.9086602425324839</v>
      </c>
      <c r="H22" s="2">
        <f t="shared" si="4"/>
        <v>1.6400973975169237</v>
      </c>
      <c r="K22" s="6">
        <v>9</v>
      </c>
      <c r="L22" s="2">
        <f t="shared" si="0"/>
        <v>32.351989037223298</v>
      </c>
      <c r="M22" s="2">
        <f t="shared" si="0"/>
        <v>42.500041337705149</v>
      </c>
      <c r="N22" s="2">
        <f t="shared" si="0"/>
        <v>0.65669978504223614</v>
      </c>
      <c r="O22" s="2">
        <f t="shared" si="0"/>
        <v>0.48516125015756634</v>
      </c>
      <c r="P22" s="2">
        <f t="shared" si="0"/>
        <v>0.40559030153815284</v>
      </c>
      <c r="Q22" s="2">
        <f t="shared" si="0"/>
        <v>0.34852069697234628</v>
      </c>
      <c r="T22" s="6">
        <v>9</v>
      </c>
      <c r="U22" s="2">
        <f t="shared" si="1"/>
        <v>152.24465429281551</v>
      </c>
      <c r="V22" s="2">
        <f t="shared" si="1"/>
        <v>200.00019453037717</v>
      </c>
      <c r="W22" s="2">
        <f t="shared" si="1"/>
        <v>3.0903519296105229</v>
      </c>
      <c r="X22" s="2">
        <f t="shared" si="1"/>
        <v>2.2831117654473712</v>
      </c>
      <c r="Y22" s="2">
        <f t="shared" si="1"/>
        <v>1.9086602425324839</v>
      </c>
      <c r="Z22" s="2">
        <f t="shared" si="1"/>
        <v>1.6400973975169237</v>
      </c>
      <c r="AB22" s="11">
        <f t="shared" si="2"/>
        <v>0.21249999999999999</v>
      </c>
      <c r="AD22" s="12">
        <f>IFERROR(macrs($D$3,$D$4,$AF22,$T22,TRUE),1)</f>
        <v>1</v>
      </c>
      <c r="AF22" s="7">
        <v>1</v>
      </c>
    </row>
    <row r="23" spans="2:32" x14ac:dyDescent="0.25">
      <c r="B23" s="6">
        <v>10</v>
      </c>
      <c r="C23" s="8">
        <v>6.2226659493412386</v>
      </c>
      <c r="D23" s="2">
        <f t="shared" si="6"/>
        <v>152.24465429281551</v>
      </c>
      <c r="E23" s="2">
        <f t="shared" si="4"/>
        <v>200.00019453037717</v>
      </c>
      <c r="F23" s="2">
        <f t="shared" si="4"/>
        <v>3.0903519296105229</v>
      </c>
      <c r="G23" s="2">
        <f t="shared" si="4"/>
        <v>2.2831117654473712</v>
      </c>
      <c r="H23" s="2">
        <f t="shared" si="4"/>
        <v>1.9086602425324839</v>
      </c>
      <c r="K23" s="6">
        <v>10</v>
      </c>
      <c r="L23" s="2">
        <f t="shared" si="0"/>
        <v>1.4778831629685441</v>
      </c>
      <c r="M23" s="2">
        <f t="shared" si="0"/>
        <v>36.158105394543682</v>
      </c>
      <c r="N23" s="2">
        <f t="shared" si="0"/>
        <v>47.500046200964576</v>
      </c>
      <c r="O23" s="2">
        <f t="shared" si="0"/>
        <v>0.73395858328249919</v>
      </c>
      <c r="P23" s="2">
        <f t="shared" si="0"/>
        <v>0.54223904429375058</v>
      </c>
      <c r="Q23" s="2">
        <f t="shared" si="0"/>
        <v>0.45330680760146491</v>
      </c>
      <c r="T23" s="6">
        <v>10</v>
      </c>
      <c r="U23" s="2">
        <f t="shared" si="1"/>
        <v>5.4445794368095282</v>
      </c>
      <c r="V23" s="2">
        <f t="shared" si="1"/>
        <v>133.2078759931812</v>
      </c>
      <c r="W23" s="2">
        <f t="shared" si="1"/>
        <v>174.99203000175112</v>
      </c>
      <c r="X23" s="2">
        <f t="shared" si="1"/>
        <v>2.7039321579271576</v>
      </c>
      <c r="Y23" s="2">
        <f t="shared" si="1"/>
        <v>1.9976298697841264</v>
      </c>
      <c r="Z23" s="2">
        <f t="shared" si="1"/>
        <v>1.6700000277932934</v>
      </c>
      <c r="AB23" s="11">
        <f t="shared" si="2"/>
        <v>0.23749999999999999</v>
      </c>
      <c r="AD23" s="12">
        <f>IFERROR(macrs($D$3,$D$4,$AF23,$T23,TRUE),1)</f>
        <v>0.87495929897794333</v>
      </c>
      <c r="AF23" s="7">
        <v>0.5</v>
      </c>
    </row>
    <row r="24" spans="2:32" x14ac:dyDescent="0.25">
      <c r="B24" s="6">
        <v>11</v>
      </c>
      <c r="C24" s="8">
        <v>8.5037089746156607</v>
      </c>
      <c r="D24" s="2">
        <f t="shared" si="6"/>
        <v>6.2226659493412386</v>
      </c>
      <c r="E24" s="2">
        <f t="shared" si="4"/>
        <v>152.24465429281551</v>
      </c>
      <c r="F24" s="2">
        <f t="shared" si="4"/>
        <v>200.00019453037717</v>
      </c>
      <c r="G24" s="2">
        <f t="shared" si="4"/>
        <v>3.0903519296105229</v>
      </c>
      <c r="H24" s="2">
        <f t="shared" si="4"/>
        <v>2.2831117654473712</v>
      </c>
      <c r="K24" s="6">
        <v>11</v>
      </c>
      <c r="L24" s="2">
        <f t="shared" si="0"/>
        <v>2.2322236058366109</v>
      </c>
      <c r="M24" s="2">
        <f t="shared" si="0"/>
        <v>1.6334498117020753</v>
      </c>
      <c r="N24" s="2">
        <f t="shared" si="0"/>
        <v>39.964221751864073</v>
      </c>
      <c r="O24" s="2">
        <f t="shared" si="0"/>
        <v>52.50005106422401</v>
      </c>
      <c r="P24" s="2">
        <f t="shared" si="0"/>
        <v>0.81121738152276224</v>
      </c>
      <c r="Q24" s="2">
        <f t="shared" si="0"/>
        <v>0.59931683842993499</v>
      </c>
      <c r="T24" s="6">
        <v>11</v>
      </c>
      <c r="U24" s="2">
        <f t="shared" si="1"/>
        <v>7.6337282852282549</v>
      </c>
      <c r="V24" s="2">
        <f t="shared" si="1"/>
        <v>5.5860497118152939</v>
      </c>
      <c r="W24" s="2">
        <f t="shared" si="1"/>
        <v>136.66910841129652</v>
      </c>
      <c r="X24" s="2">
        <f t="shared" si="1"/>
        <v>179.53896900695585</v>
      </c>
      <c r="Y24" s="2">
        <f t="shared" si="1"/>
        <v>2.7741902982332243</v>
      </c>
      <c r="Z24" s="2">
        <f t="shared" si="1"/>
        <v>2.0495356689956257</v>
      </c>
      <c r="AB24" s="11">
        <f t="shared" si="2"/>
        <v>0.26250000000000001</v>
      </c>
      <c r="AD24" s="12">
        <f>IFERROR(macrs($D$3,$D$4,$AF24,$T24,TRUE),1)</f>
        <v>0.89769397189104461</v>
      </c>
      <c r="AF24" s="7">
        <v>0.5</v>
      </c>
    </row>
    <row r="25" spans="2:32" x14ac:dyDescent="0.25">
      <c r="B25" s="6">
        <v>12</v>
      </c>
      <c r="C25" s="8">
        <v>11.783670383300331</v>
      </c>
      <c r="D25" s="2">
        <f t="shared" si="6"/>
        <v>8.5037089746156607</v>
      </c>
      <c r="E25" s="2">
        <f t="shared" si="4"/>
        <v>6.2226659493412386</v>
      </c>
      <c r="F25" s="2">
        <f t="shared" si="4"/>
        <v>152.24465429281551</v>
      </c>
      <c r="G25" s="2">
        <f t="shared" si="4"/>
        <v>200.00019453037717</v>
      </c>
      <c r="H25" s="2">
        <f t="shared" si="4"/>
        <v>3.0903519296105229</v>
      </c>
      <c r="K25" s="6">
        <v>12</v>
      </c>
      <c r="L25" s="2">
        <f t="shared" si="0"/>
        <v>3.387805235198845</v>
      </c>
      <c r="M25" s="2">
        <f t="shared" si="0"/>
        <v>2.4448163302020021</v>
      </c>
      <c r="N25" s="2">
        <f t="shared" si="0"/>
        <v>1.789016460435606</v>
      </c>
      <c r="O25" s="2">
        <f t="shared" si="0"/>
        <v>43.770338109184458</v>
      </c>
      <c r="P25" s="2">
        <f t="shared" si="0"/>
        <v>57.50005592748343</v>
      </c>
      <c r="Q25" s="2">
        <f t="shared" si="0"/>
        <v>0.88847617976302529</v>
      </c>
      <c r="T25" s="6">
        <v>12</v>
      </c>
      <c r="U25" s="2">
        <f t="shared" si="1"/>
        <v>10.846027761719874</v>
      </c>
      <c r="V25" s="2">
        <f t="shared" si="1"/>
        <v>7.8270573273143453</v>
      </c>
      <c r="W25" s="2">
        <f t="shared" si="1"/>
        <v>5.7275199868210604</v>
      </c>
      <c r="X25" s="2">
        <f t="shared" si="1"/>
        <v>140.13034082941186</v>
      </c>
      <c r="Y25" s="2">
        <f t="shared" si="1"/>
        <v>184.08590801216062</v>
      </c>
      <c r="Z25" s="2">
        <f t="shared" si="1"/>
        <v>2.844448438539291</v>
      </c>
      <c r="AB25" s="11">
        <f t="shared" si="2"/>
        <v>0.28749999999999998</v>
      </c>
      <c r="AD25" s="12">
        <f>IFERROR(macrs($D$3,$D$4,$AF25,$T25,TRUE),1)</f>
        <v>0.92042864480414588</v>
      </c>
      <c r="AF25" s="7">
        <v>0.5</v>
      </c>
    </row>
    <row r="26" spans="2:32" x14ac:dyDescent="0.25">
      <c r="B26" s="6">
        <v>13</v>
      </c>
      <c r="C26" s="8">
        <v>8.3230608557231154</v>
      </c>
      <c r="D26" s="2">
        <f t="shared" si="6"/>
        <v>11.783670383300331</v>
      </c>
      <c r="E26" s="2">
        <f t="shared" si="4"/>
        <v>8.5037089746156607</v>
      </c>
      <c r="F26" s="2">
        <f t="shared" si="4"/>
        <v>6.2226659493412386</v>
      </c>
      <c r="G26" s="2">
        <f t="shared" si="4"/>
        <v>152.24465429281551</v>
      </c>
      <c r="H26" s="2">
        <f t="shared" si="4"/>
        <v>200.00019453037717</v>
      </c>
      <c r="K26" s="6">
        <v>13</v>
      </c>
      <c r="L26" s="2">
        <f t="shared" si="0"/>
        <v>2.6009565174134734</v>
      </c>
      <c r="M26" s="2">
        <f t="shared" si="0"/>
        <v>3.6823969947813535</v>
      </c>
      <c r="N26" s="2">
        <f t="shared" si="0"/>
        <v>2.6574090545673941</v>
      </c>
      <c r="O26" s="2">
        <f t="shared" si="0"/>
        <v>1.944583109169137</v>
      </c>
      <c r="P26" s="2">
        <f t="shared" si="0"/>
        <v>47.576454466504849</v>
      </c>
      <c r="Q26" s="2">
        <f t="shared" si="0"/>
        <v>62.500060790742864</v>
      </c>
      <c r="T26" s="6">
        <v>13</v>
      </c>
      <c r="U26" s="2">
        <f t="shared" si="1"/>
        <v>7.3769505247696081</v>
      </c>
      <c r="V26" s="2">
        <f t="shared" si="1"/>
        <v>10.444180923899674</v>
      </c>
      <c r="W26" s="2">
        <f t="shared" si="1"/>
        <v>7.5370637641852083</v>
      </c>
      <c r="X26" s="2">
        <f t="shared" si="1"/>
        <v>5.515314574312411</v>
      </c>
      <c r="Y26" s="2">
        <f t="shared" si="1"/>
        <v>134.93849220223885</v>
      </c>
      <c r="Z26" s="2">
        <f t="shared" si="1"/>
        <v>177.26549950435347</v>
      </c>
      <c r="AB26" s="11">
        <f t="shared" si="2"/>
        <v>0.3125</v>
      </c>
      <c r="AD26" s="12">
        <f>IFERROR(macrs($D$3,$D$4,$AF26,$T26,TRUE),1)</f>
        <v>0.88632663543449386</v>
      </c>
      <c r="AF26" s="7">
        <v>0</v>
      </c>
    </row>
    <row r="27" spans="2:32" x14ac:dyDescent="0.25">
      <c r="B27" s="6">
        <v>14</v>
      </c>
      <c r="C27" s="8">
        <v>13.529508344227606</v>
      </c>
      <c r="D27" s="2">
        <f t="shared" si="6"/>
        <v>8.3230608557231154</v>
      </c>
      <c r="E27" s="2">
        <f t="shared" si="4"/>
        <v>11.783670383300331</v>
      </c>
      <c r="F27" s="2">
        <f t="shared" si="4"/>
        <v>8.5037089746156607</v>
      </c>
      <c r="G27" s="2">
        <f t="shared" si="4"/>
        <v>6.2226659493412386</v>
      </c>
      <c r="H27" s="2">
        <f t="shared" si="4"/>
        <v>152.24465429281551</v>
      </c>
      <c r="K27" s="6">
        <v>14</v>
      </c>
      <c r="L27" s="2">
        <f t="shared" si="0"/>
        <v>4.5662090661768175</v>
      </c>
      <c r="M27" s="2">
        <f t="shared" si="0"/>
        <v>2.8090330388065516</v>
      </c>
      <c r="N27" s="2">
        <f t="shared" si="0"/>
        <v>3.976988754363862</v>
      </c>
      <c r="O27" s="2">
        <f t="shared" si="0"/>
        <v>2.8700017789327856</v>
      </c>
      <c r="P27" s="2">
        <f t="shared" si="0"/>
        <v>2.1001497579026682</v>
      </c>
      <c r="Q27" s="2">
        <f t="shared" si="0"/>
        <v>51.38257082382524</v>
      </c>
      <c r="T27" s="6">
        <v>14</v>
      </c>
      <c r="U27" s="2">
        <f t="shared" si="1"/>
        <v>12.60674150358434</v>
      </c>
      <c r="V27" s="2">
        <f t="shared" si="1"/>
        <v>7.7553946571510108</v>
      </c>
      <c r="W27" s="2">
        <f t="shared" si="1"/>
        <v>10.979976707659937</v>
      </c>
      <c r="X27" s="2">
        <f t="shared" si="1"/>
        <v>7.9237218483573892</v>
      </c>
      <c r="Y27" s="2">
        <f t="shared" si="1"/>
        <v>5.7982551243239415</v>
      </c>
      <c r="Z27" s="2">
        <f t="shared" si="1"/>
        <v>141.86095703846951</v>
      </c>
      <c r="AB27" s="11">
        <f t="shared" si="2"/>
        <v>0.33750000000000002</v>
      </c>
      <c r="AD27" s="12">
        <f>IFERROR(macrs($D$3,$D$4,$AF27,$T27,TRUE),1)</f>
        <v>0.93179598126069629</v>
      </c>
      <c r="AF27" s="7">
        <v>0</v>
      </c>
    </row>
    <row r="28" spans="2:32" x14ac:dyDescent="0.25">
      <c r="B28" s="6">
        <v>15</v>
      </c>
      <c r="C28" s="8">
        <v>25.64141228390169</v>
      </c>
      <c r="D28" s="2">
        <f t="shared" si="6"/>
        <v>13.529508344227606</v>
      </c>
      <c r="E28" s="2">
        <f t="shared" si="4"/>
        <v>8.3230608557231154</v>
      </c>
      <c r="F28" s="2">
        <f t="shared" si="4"/>
        <v>11.783670383300331</v>
      </c>
      <c r="G28" s="2">
        <f t="shared" si="4"/>
        <v>8.5037089746156607</v>
      </c>
      <c r="H28" s="2">
        <f t="shared" si="4"/>
        <v>6.2226659493412386</v>
      </c>
      <c r="K28" s="6">
        <v>15</v>
      </c>
      <c r="L28" s="2">
        <f t="shared" si="0"/>
        <v>9.2950119529143631</v>
      </c>
      <c r="M28" s="2">
        <f t="shared" si="0"/>
        <v>4.9044467747825076</v>
      </c>
      <c r="N28" s="2">
        <f t="shared" si="0"/>
        <v>3.0171095601996294</v>
      </c>
      <c r="O28" s="2">
        <f t="shared" si="0"/>
        <v>4.2715805139463701</v>
      </c>
      <c r="P28" s="2">
        <f t="shared" si="0"/>
        <v>3.0825945032981767</v>
      </c>
      <c r="Q28" s="2">
        <f t="shared" si="0"/>
        <v>2.255716406636199</v>
      </c>
      <c r="T28" s="6">
        <v>15</v>
      </c>
      <c r="U28" s="2">
        <f t="shared" si="1"/>
        <v>25.05846316259721</v>
      </c>
      <c r="V28" s="2">
        <f t="shared" si="1"/>
        <v>13.221919397346518</v>
      </c>
      <c r="W28" s="2">
        <f t="shared" si="1"/>
        <v>8.1338387895324136</v>
      </c>
      <c r="X28" s="2">
        <f t="shared" si="1"/>
        <v>11.515772491420199</v>
      </c>
      <c r="Y28" s="2">
        <f t="shared" si="1"/>
        <v>8.3103799325295693</v>
      </c>
      <c r="Z28" s="2">
        <f t="shared" si="1"/>
        <v>6.0811956743354729</v>
      </c>
      <c r="AB28" s="11">
        <f t="shared" si="2"/>
        <v>0.36249999999999999</v>
      </c>
      <c r="AD28" s="12">
        <f>IFERROR(macrs($D$3,$D$4,$AF28,$T28,TRUE),1)</f>
        <v>0.97726532708689873</v>
      </c>
      <c r="AF28" s="7">
        <v>0</v>
      </c>
    </row>
    <row r="29" spans="2:32" x14ac:dyDescent="0.25">
      <c r="B29" s="6">
        <v>16</v>
      </c>
      <c r="C29" s="8">
        <v>27.473310007155209</v>
      </c>
      <c r="D29" s="2">
        <f t="shared" si="6"/>
        <v>25.64141228390169</v>
      </c>
      <c r="E29" s="2">
        <f t="shared" si="4"/>
        <v>13.529508344227606</v>
      </c>
      <c r="F29" s="2">
        <f t="shared" si="4"/>
        <v>8.3230608557231154</v>
      </c>
      <c r="G29" s="2">
        <f t="shared" si="4"/>
        <v>11.783670383300331</v>
      </c>
      <c r="H29" s="2">
        <f t="shared" si="4"/>
        <v>8.5037089746156607</v>
      </c>
      <c r="K29" s="6">
        <v>16</v>
      </c>
      <c r="L29" s="2">
        <f t="shared" si="0"/>
        <v>10.645907627772644</v>
      </c>
      <c r="M29" s="2">
        <f t="shared" si="0"/>
        <v>9.9360472600119056</v>
      </c>
      <c r="N29" s="2">
        <f t="shared" si="0"/>
        <v>5.2426844833881976</v>
      </c>
      <c r="O29" s="2">
        <f t="shared" si="0"/>
        <v>3.2251860815927071</v>
      </c>
      <c r="P29" s="2">
        <f t="shared" si="0"/>
        <v>4.5661722735288786</v>
      </c>
      <c r="Q29" s="2">
        <f t="shared" si="0"/>
        <v>3.2951872276635688</v>
      </c>
      <c r="T29" s="6">
        <v>16</v>
      </c>
      <c r="U29" s="2">
        <f t="shared" si="1"/>
        <v>27.473310007155209</v>
      </c>
      <c r="V29" s="2">
        <f t="shared" si="1"/>
        <v>25.64141228390169</v>
      </c>
      <c r="W29" s="2">
        <f t="shared" si="1"/>
        <v>13.529508344227606</v>
      </c>
      <c r="X29" s="2">
        <f t="shared" si="1"/>
        <v>8.3230608557231154</v>
      </c>
      <c r="Y29" s="2">
        <f t="shared" si="1"/>
        <v>11.783670383300331</v>
      </c>
      <c r="Z29" s="2">
        <f t="shared" si="1"/>
        <v>8.5037089746156607</v>
      </c>
      <c r="AB29" s="11">
        <f t="shared" si="2"/>
        <v>0.38750000000000001</v>
      </c>
      <c r="AD29" s="12">
        <f>IFERROR(macrs($D$3,$D$4,$AF29,$T29,TRUE),1)</f>
        <v>1</v>
      </c>
      <c r="AF29" s="7">
        <v>0</v>
      </c>
    </row>
    <row r="30" spans="2:32" x14ac:dyDescent="0.25">
      <c r="B30" s="6">
        <v>17</v>
      </c>
      <c r="C30" s="8">
        <v>35.522835023803481</v>
      </c>
      <c r="D30" s="2">
        <f t="shared" si="6"/>
        <v>27.473310007155209</v>
      </c>
      <c r="E30" s="2">
        <f t="shared" si="4"/>
        <v>25.64141228390169</v>
      </c>
      <c r="F30" s="2">
        <f t="shared" si="4"/>
        <v>13.529508344227606</v>
      </c>
      <c r="G30" s="2">
        <f t="shared" si="4"/>
        <v>8.3230608557231154</v>
      </c>
      <c r="H30" s="2">
        <f t="shared" si="4"/>
        <v>11.783670383300331</v>
      </c>
      <c r="K30" s="6">
        <v>17</v>
      </c>
      <c r="L30" s="2">
        <f t="shared" si="0"/>
        <v>14.653169447318936</v>
      </c>
      <c r="M30" s="2">
        <f t="shared" si="0"/>
        <v>11.332740377951524</v>
      </c>
      <c r="N30" s="2">
        <f t="shared" si="0"/>
        <v>10.577082567109446</v>
      </c>
      <c r="O30" s="2">
        <f t="shared" si="0"/>
        <v>5.5809221919938876</v>
      </c>
      <c r="P30" s="2">
        <f t="shared" si="0"/>
        <v>3.4332626029857849</v>
      </c>
      <c r="Q30" s="2">
        <f t="shared" si="0"/>
        <v>4.8607640331113862</v>
      </c>
      <c r="T30" s="6">
        <v>17</v>
      </c>
      <c r="U30" s="2">
        <f t="shared" si="1"/>
        <v>35.522835023803481</v>
      </c>
      <c r="V30" s="2">
        <f t="shared" si="1"/>
        <v>27.473310007155209</v>
      </c>
      <c r="W30" s="2">
        <f t="shared" si="1"/>
        <v>25.64141228390169</v>
      </c>
      <c r="X30" s="2">
        <f t="shared" si="1"/>
        <v>13.529508344227606</v>
      </c>
      <c r="Y30" s="2">
        <f t="shared" si="1"/>
        <v>8.3230608557231154</v>
      </c>
      <c r="Z30" s="2">
        <f t="shared" si="1"/>
        <v>11.783670383300331</v>
      </c>
      <c r="AB30" s="11">
        <f t="shared" si="2"/>
        <v>0.41249999999999998</v>
      </c>
      <c r="AD30" s="12">
        <f>IFERROR(macrs($D$3,$D$4,$AF30,$T30,TRUE),1)</f>
        <v>1</v>
      </c>
      <c r="AF30" s="7">
        <v>0</v>
      </c>
    </row>
    <row r="31" spans="2:32" x14ac:dyDescent="0.25">
      <c r="B31" s="6">
        <v>18</v>
      </c>
      <c r="C31" s="8">
        <v>0</v>
      </c>
      <c r="D31" s="2">
        <f t="shared" si="6"/>
        <v>35.522835023803481</v>
      </c>
      <c r="E31" s="2">
        <f t="shared" si="6"/>
        <v>27.473310007155209</v>
      </c>
      <c r="F31" s="2">
        <f t="shared" si="6"/>
        <v>25.64141228390169</v>
      </c>
      <c r="G31" s="2">
        <f t="shared" si="6"/>
        <v>13.529508344227606</v>
      </c>
      <c r="H31" s="2">
        <f t="shared" si="6"/>
        <v>8.3230608557231154</v>
      </c>
      <c r="K31" s="6">
        <v>18</v>
      </c>
      <c r="L31" s="2">
        <f t="shared" si="0"/>
        <v>0</v>
      </c>
      <c r="M31" s="2">
        <f t="shared" si="0"/>
        <v>15.541240322914023</v>
      </c>
      <c r="N31" s="2">
        <f t="shared" si="0"/>
        <v>12.019573128130403</v>
      </c>
      <c r="O31" s="2">
        <f t="shared" si="0"/>
        <v>11.218117874206989</v>
      </c>
      <c r="P31" s="2">
        <f t="shared" si="0"/>
        <v>5.9191599005995776</v>
      </c>
      <c r="Q31" s="2">
        <f t="shared" si="0"/>
        <v>3.6413391243788631</v>
      </c>
      <c r="T31" s="6">
        <v>18</v>
      </c>
      <c r="U31" s="2">
        <f t="shared" si="1"/>
        <v>0</v>
      </c>
      <c r="V31" s="2">
        <f t="shared" si="1"/>
        <v>35.522835023803481</v>
      </c>
      <c r="W31" s="2">
        <f t="shared" si="1"/>
        <v>27.473310007155209</v>
      </c>
      <c r="X31" s="2">
        <f t="shared" si="1"/>
        <v>25.64141228390169</v>
      </c>
      <c r="Y31" s="2">
        <f t="shared" si="1"/>
        <v>13.529508344227606</v>
      </c>
      <c r="Z31" s="2">
        <f t="shared" si="1"/>
        <v>8.3230608557231154</v>
      </c>
      <c r="AB31" s="11">
        <f t="shared" si="2"/>
        <v>0.4375</v>
      </c>
      <c r="AD31" s="12">
        <f>IFERROR(macrs($D$3,$D$4,$AF31,$T31,TRUE),1)</f>
        <v>1</v>
      </c>
      <c r="AF31" s="7">
        <v>0</v>
      </c>
    </row>
    <row r="32" spans="2:32" x14ac:dyDescent="0.25">
      <c r="B32" s="6">
        <v>19</v>
      </c>
      <c r="C32" s="8">
        <v>0</v>
      </c>
      <c r="D32" s="2">
        <f t="shared" si="6"/>
        <v>0</v>
      </c>
      <c r="E32" s="2">
        <f t="shared" si="6"/>
        <v>35.522835023803481</v>
      </c>
      <c r="F32" s="2">
        <f t="shared" si="6"/>
        <v>27.473310007155209</v>
      </c>
      <c r="G32" s="2">
        <f t="shared" si="6"/>
        <v>25.64141228390169</v>
      </c>
      <c r="H32" s="2">
        <f t="shared" si="6"/>
        <v>13.529508344227606</v>
      </c>
      <c r="K32" s="6">
        <v>19</v>
      </c>
      <c r="L32" s="2">
        <f t="shared" si="0"/>
        <v>0</v>
      </c>
      <c r="M32" s="2">
        <f t="shared" si="0"/>
        <v>0</v>
      </c>
      <c r="N32" s="2">
        <f t="shared" si="0"/>
        <v>16.429311198509112</v>
      </c>
      <c r="O32" s="2">
        <f t="shared" si="0"/>
        <v>12.706405878309285</v>
      </c>
      <c r="P32" s="2">
        <f t="shared" si="0"/>
        <v>11.859153181304533</v>
      </c>
      <c r="Q32" s="2">
        <f t="shared" si="0"/>
        <v>6.2573976092052686</v>
      </c>
      <c r="T32" s="6">
        <v>19</v>
      </c>
      <c r="U32" s="2">
        <f t="shared" si="1"/>
        <v>0</v>
      </c>
      <c r="V32" s="2">
        <f t="shared" si="1"/>
        <v>0</v>
      </c>
      <c r="W32" s="2">
        <f t="shared" si="1"/>
        <v>35.522835023803481</v>
      </c>
      <c r="X32" s="2">
        <f t="shared" si="1"/>
        <v>27.473310007155209</v>
      </c>
      <c r="Y32" s="2">
        <f t="shared" si="1"/>
        <v>25.64141228390169</v>
      </c>
      <c r="Z32" s="2">
        <f t="shared" si="1"/>
        <v>13.529508344227606</v>
      </c>
      <c r="AB32" s="11">
        <f t="shared" si="2"/>
        <v>0.46250000000000002</v>
      </c>
      <c r="AD32" s="12">
        <f>IFERROR(macrs($D$3,$D$4,$AF32,$T32,TRUE),1)</f>
        <v>1</v>
      </c>
      <c r="AF32" s="7">
        <v>0</v>
      </c>
    </row>
    <row r="33" spans="2:32" x14ac:dyDescent="0.25">
      <c r="B33" s="6">
        <v>20</v>
      </c>
      <c r="C33" s="8">
        <v>0</v>
      </c>
      <c r="D33" s="2">
        <f t="shared" si="6"/>
        <v>0</v>
      </c>
      <c r="E33" s="2">
        <f t="shared" si="6"/>
        <v>0</v>
      </c>
      <c r="F33" s="2">
        <f t="shared" si="6"/>
        <v>35.522835023803481</v>
      </c>
      <c r="G33" s="2">
        <f t="shared" si="6"/>
        <v>27.473310007155209</v>
      </c>
      <c r="H33" s="2">
        <f t="shared" si="6"/>
        <v>25.64141228390169</v>
      </c>
      <c r="K33" s="6">
        <v>20</v>
      </c>
      <c r="L33" s="2">
        <f t="shared" si="0"/>
        <v>0</v>
      </c>
      <c r="M33" s="2">
        <f t="shared" si="0"/>
        <v>0</v>
      </c>
      <c r="N33" s="2">
        <f t="shared" si="0"/>
        <v>0</v>
      </c>
      <c r="O33" s="2">
        <f t="shared" si="0"/>
        <v>17.317382074104195</v>
      </c>
      <c r="P33" s="2">
        <f t="shared" si="0"/>
        <v>13.393238628488165</v>
      </c>
      <c r="Q33" s="2">
        <f t="shared" si="0"/>
        <v>12.500188488402074</v>
      </c>
      <c r="T33" s="6">
        <v>20</v>
      </c>
      <c r="U33" s="2">
        <f t="shared" si="1"/>
        <v>0</v>
      </c>
      <c r="V33" s="2">
        <f t="shared" si="1"/>
        <v>0</v>
      </c>
      <c r="W33" s="2">
        <f t="shared" si="1"/>
        <v>0</v>
      </c>
      <c r="X33" s="2">
        <f t="shared" si="1"/>
        <v>35.522835023803481</v>
      </c>
      <c r="Y33" s="2">
        <f t="shared" si="1"/>
        <v>27.473310007155209</v>
      </c>
      <c r="Z33" s="2">
        <f t="shared" si="1"/>
        <v>25.64141228390169</v>
      </c>
      <c r="AB33" s="11">
        <f t="shared" si="2"/>
        <v>0.48749999999999999</v>
      </c>
      <c r="AD33" s="12">
        <f>IFERROR(macrs($D$3,$D$4,$AF33,$T33,TRUE),1)</f>
        <v>1</v>
      </c>
      <c r="AF33" s="7">
        <v>0</v>
      </c>
    </row>
    <row r="34" spans="2:32" x14ac:dyDescent="0.25">
      <c r="B34" s="6">
        <v>21</v>
      </c>
      <c r="C34" s="8">
        <v>0</v>
      </c>
      <c r="D34" s="2">
        <f t="shared" si="6"/>
        <v>0</v>
      </c>
      <c r="E34" s="2">
        <f t="shared" si="6"/>
        <v>0</v>
      </c>
      <c r="F34" s="2">
        <f t="shared" si="6"/>
        <v>0</v>
      </c>
      <c r="G34" s="2">
        <f t="shared" si="6"/>
        <v>35.522835023803481</v>
      </c>
      <c r="H34" s="2">
        <f t="shared" si="6"/>
        <v>27.473310007155209</v>
      </c>
      <c r="K34" s="6">
        <v>21</v>
      </c>
      <c r="L34" s="2">
        <f t="shared" si="0"/>
        <v>0</v>
      </c>
      <c r="M34" s="2">
        <f t="shared" si="0"/>
        <v>0</v>
      </c>
      <c r="N34" s="2">
        <f t="shared" si="0"/>
        <v>0</v>
      </c>
      <c r="O34" s="2">
        <f t="shared" si="0"/>
        <v>0</v>
      </c>
      <c r="P34" s="2">
        <f t="shared" si="0"/>
        <v>18.205452949699282</v>
      </c>
      <c r="Q34" s="2">
        <f t="shared" si="0"/>
        <v>14.080071378667043</v>
      </c>
      <c r="T34" s="6">
        <v>21</v>
      </c>
      <c r="U34" s="2">
        <f t="shared" si="1"/>
        <v>0</v>
      </c>
      <c r="V34" s="2">
        <f t="shared" si="1"/>
        <v>0</v>
      </c>
      <c r="W34" s="2">
        <f t="shared" si="1"/>
        <v>0</v>
      </c>
      <c r="X34" s="2">
        <f t="shared" si="1"/>
        <v>0</v>
      </c>
      <c r="Y34" s="2">
        <f t="shared" si="1"/>
        <v>35.522835023803481</v>
      </c>
      <c r="Z34" s="2">
        <f t="shared" si="1"/>
        <v>27.473310007155209</v>
      </c>
      <c r="AB34" s="11">
        <f t="shared" si="2"/>
        <v>0.51249999999999996</v>
      </c>
      <c r="AD34" s="12">
        <f>IFERROR(macrs($D$3,$D$4,$AF34,$T34,TRUE),1)</f>
        <v>1</v>
      </c>
      <c r="AF34" s="7">
        <v>0</v>
      </c>
    </row>
    <row r="35" spans="2:32" x14ac:dyDescent="0.25">
      <c r="B35" s="6">
        <v>22</v>
      </c>
      <c r="C35" s="8">
        <v>0</v>
      </c>
      <c r="D35" s="2">
        <f t="shared" si="6"/>
        <v>0</v>
      </c>
      <c r="E35" s="2">
        <f t="shared" si="6"/>
        <v>0</v>
      </c>
      <c r="F35" s="2">
        <f t="shared" si="6"/>
        <v>0</v>
      </c>
      <c r="G35" s="2">
        <f t="shared" si="6"/>
        <v>0</v>
      </c>
      <c r="H35" s="2">
        <f t="shared" si="6"/>
        <v>35.522835023803481</v>
      </c>
      <c r="K35" s="6">
        <v>22</v>
      </c>
      <c r="L35" s="2">
        <f t="shared" si="0"/>
        <v>0</v>
      </c>
      <c r="M35" s="2">
        <f t="shared" si="0"/>
        <v>0</v>
      </c>
      <c r="N35" s="2">
        <f t="shared" si="0"/>
        <v>0</v>
      </c>
      <c r="O35" s="2">
        <f t="shared" si="0"/>
        <v>0</v>
      </c>
      <c r="P35" s="2">
        <f t="shared" si="0"/>
        <v>0</v>
      </c>
      <c r="Q35" s="2">
        <f t="shared" si="0"/>
        <v>19.093523825294369</v>
      </c>
      <c r="T35" s="6">
        <v>22</v>
      </c>
      <c r="U35" s="2">
        <f t="shared" si="1"/>
        <v>0</v>
      </c>
      <c r="V35" s="2">
        <f t="shared" si="1"/>
        <v>0</v>
      </c>
      <c r="W35" s="2">
        <f t="shared" si="1"/>
        <v>0</v>
      </c>
      <c r="X35" s="2">
        <f t="shared" si="1"/>
        <v>0</v>
      </c>
      <c r="Y35" s="2">
        <f t="shared" si="1"/>
        <v>0</v>
      </c>
      <c r="Z35" s="2">
        <f t="shared" si="1"/>
        <v>35.522835023803481</v>
      </c>
      <c r="AB35" s="11">
        <f t="shared" si="2"/>
        <v>0.53749999999999998</v>
      </c>
      <c r="AD35" s="12">
        <f>IFERROR(macrs($D$3,$D$4,$AF35,$T35,TRUE),1)</f>
        <v>1</v>
      </c>
      <c r="AF35" s="7">
        <v>0</v>
      </c>
    </row>
    <row r="36" spans="2:32" x14ac:dyDescent="0.25">
      <c r="B36" s="6">
        <v>23</v>
      </c>
      <c r="C36" s="8">
        <v>0</v>
      </c>
      <c r="D36" s="2">
        <f t="shared" si="6"/>
        <v>0</v>
      </c>
      <c r="E36" s="2">
        <f t="shared" si="6"/>
        <v>0</v>
      </c>
      <c r="F36" s="2">
        <f t="shared" si="6"/>
        <v>0</v>
      </c>
      <c r="G36" s="2">
        <f t="shared" si="6"/>
        <v>0</v>
      </c>
      <c r="H36" s="2">
        <f t="shared" si="6"/>
        <v>0</v>
      </c>
      <c r="K36" s="6">
        <v>23</v>
      </c>
      <c r="L36" s="2">
        <f t="shared" si="0"/>
        <v>0</v>
      </c>
      <c r="M36" s="2">
        <f t="shared" si="0"/>
        <v>0</v>
      </c>
      <c r="N36" s="2">
        <f t="shared" si="0"/>
        <v>0</v>
      </c>
      <c r="O36" s="2">
        <f t="shared" si="0"/>
        <v>0</v>
      </c>
      <c r="P36" s="2">
        <f t="shared" si="0"/>
        <v>0</v>
      </c>
      <c r="Q36" s="2">
        <f t="shared" si="0"/>
        <v>0</v>
      </c>
      <c r="T36" s="6">
        <v>23</v>
      </c>
      <c r="U36" s="2">
        <f t="shared" si="1"/>
        <v>0</v>
      </c>
      <c r="V36" s="2">
        <f t="shared" si="1"/>
        <v>0</v>
      </c>
      <c r="W36" s="2">
        <f t="shared" si="1"/>
        <v>0</v>
      </c>
      <c r="X36" s="2">
        <f t="shared" si="1"/>
        <v>0</v>
      </c>
      <c r="Y36" s="2">
        <f t="shared" si="1"/>
        <v>0</v>
      </c>
      <c r="Z36" s="2">
        <f t="shared" si="1"/>
        <v>0</v>
      </c>
      <c r="AB36" s="11">
        <f t="shared" si="2"/>
        <v>0.5625</v>
      </c>
      <c r="AD36" s="12">
        <f>IFERROR(macrs($D$3,$D$4,$AF36,$T36,TRUE),1)</f>
        <v>1</v>
      </c>
      <c r="AF36" s="7">
        <v>0</v>
      </c>
    </row>
    <row r="37" spans="2:32" x14ac:dyDescent="0.25">
      <c r="B37" s="6">
        <v>24</v>
      </c>
      <c r="C37" s="8">
        <v>0</v>
      </c>
      <c r="D37" s="2">
        <f t="shared" si="6"/>
        <v>0</v>
      </c>
      <c r="E37" s="2">
        <f t="shared" si="6"/>
        <v>0</v>
      </c>
      <c r="F37" s="2">
        <f t="shared" si="6"/>
        <v>0</v>
      </c>
      <c r="G37" s="2">
        <f t="shared" si="6"/>
        <v>0</v>
      </c>
      <c r="H37" s="2">
        <f t="shared" si="6"/>
        <v>0</v>
      </c>
      <c r="K37" s="6">
        <v>24</v>
      </c>
      <c r="L37" s="2">
        <f t="shared" si="0"/>
        <v>0</v>
      </c>
      <c r="M37" s="2">
        <f t="shared" si="0"/>
        <v>0</v>
      </c>
      <c r="N37" s="2">
        <f t="shared" si="0"/>
        <v>0</v>
      </c>
      <c r="O37" s="2">
        <f t="shared" si="0"/>
        <v>0</v>
      </c>
      <c r="P37" s="2">
        <f t="shared" si="0"/>
        <v>0</v>
      </c>
      <c r="Q37" s="2">
        <f t="shared" si="0"/>
        <v>0</v>
      </c>
      <c r="T37" s="6">
        <v>24</v>
      </c>
      <c r="U37" s="2">
        <f t="shared" si="1"/>
        <v>0</v>
      </c>
      <c r="V37" s="2">
        <f t="shared" si="1"/>
        <v>0</v>
      </c>
      <c r="W37" s="2">
        <f t="shared" si="1"/>
        <v>0</v>
      </c>
      <c r="X37" s="2">
        <f t="shared" si="1"/>
        <v>0</v>
      </c>
      <c r="Y37" s="2">
        <f t="shared" si="1"/>
        <v>0</v>
      </c>
      <c r="Z37" s="2">
        <f t="shared" si="1"/>
        <v>0</v>
      </c>
      <c r="AB37" s="11">
        <f t="shared" si="2"/>
        <v>0.58750000000000002</v>
      </c>
      <c r="AD37" s="12">
        <f>IFERROR(macrs($D$3,$D$4,$AF37,$T37,TRUE),1)</f>
        <v>1</v>
      </c>
      <c r="AF37" s="7">
        <v>0</v>
      </c>
    </row>
    <row r="38" spans="2:32" x14ac:dyDescent="0.25">
      <c r="B38" s="6">
        <v>25</v>
      </c>
      <c r="C38" s="8">
        <v>0</v>
      </c>
      <c r="D38" s="2">
        <f t="shared" si="6"/>
        <v>0</v>
      </c>
      <c r="E38" s="2">
        <f t="shared" si="6"/>
        <v>0</v>
      </c>
      <c r="F38" s="2">
        <f t="shared" si="6"/>
        <v>0</v>
      </c>
      <c r="G38" s="2">
        <f t="shared" si="6"/>
        <v>0</v>
      </c>
      <c r="H38" s="2">
        <f t="shared" si="6"/>
        <v>0</v>
      </c>
      <c r="K38" s="6">
        <v>25</v>
      </c>
      <c r="L38" s="2">
        <f t="shared" si="0"/>
        <v>0</v>
      </c>
      <c r="M38" s="2">
        <f t="shared" si="0"/>
        <v>0</v>
      </c>
      <c r="N38" s="2">
        <f t="shared" si="0"/>
        <v>0</v>
      </c>
      <c r="O38" s="2">
        <f t="shared" si="0"/>
        <v>0</v>
      </c>
      <c r="P38" s="2">
        <f t="shared" si="0"/>
        <v>0</v>
      </c>
      <c r="Q38" s="2">
        <f t="shared" si="0"/>
        <v>0</v>
      </c>
      <c r="T38" s="6">
        <v>25</v>
      </c>
      <c r="U38" s="2">
        <f t="shared" si="1"/>
        <v>0</v>
      </c>
      <c r="V38" s="2">
        <f t="shared" si="1"/>
        <v>0</v>
      </c>
      <c r="W38" s="2">
        <f t="shared" si="1"/>
        <v>0</v>
      </c>
      <c r="X38" s="2">
        <f t="shared" si="1"/>
        <v>0</v>
      </c>
      <c r="Y38" s="2">
        <f t="shared" si="1"/>
        <v>0</v>
      </c>
      <c r="Z38" s="2">
        <f t="shared" si="1"/>
        <v>0</v>
      </c>
      <c r="AB38" s="11">
        <f t="shared" si="2"/>
        <v>0.61250000000000004</v>
      </c>
      <c r="AD38" s="12">
        <f>IFERROR(macrs($D$3,$D$4,$AF38,$T38,TRUE),1)</f>
        <v>1</v>
      </c>
      <c r="AF38" s="7">
        <v>0</v>
      </c>
    </row>
    <row r="39" spans="2:32" x14ac:dyDescent="0.25">
      <c r="B39" s="6">
        <v>26</v>
      </c>
      <c r="C39" s="8">
        <v>0</v>
      </c>
      <c r="D39" s="2">
        <f t="shared" si="6"/>
        <v>0</v>
      </c>
      <c r="E39" s="2">
        <f t="shared" si="6"/>
        <v>0</v>
      </c>
      <c r="F39" s="2">
        <f t="shared" si="6"/>
        <v>0</v>
      </c>
      <c r="G39" s="2">
        <f t="shared" si="6"/>
        <v>0</v>
      </c>
      <c r="H39" s="2">
        <f t="shared" si="6"/>
        <v>0</v>
      </c>
      <c r="K39" s="6">
        <v>26</v>
      </c>
      <c r="L39" s="2">
        <f t="shared" si="0"/>
        <v>0</v>
      </c>
      <c r="M39" s="2">
        <f t="shared" si="0"/>
        <v>0</v>
      </c>
      <c r="N39" s="2">
        <f t="shared" si="0"/>
        <v>0</v>
      </c>
      <c r="O39" s="2">
        <f t="shared" si="0"/>
        <v>0</v>
      </c>
      <c r="P39" s="2">
        <f t="shared" si="0"/>
        <v>0</v>
      </c>
      <c r="Q39" s="2">
        <f t="shared" si="0"/>
        <v>0</v>
      </c>
      <c r="T39" s="6">
        <v>26</v>
      </c>
      <c r="U39" s="2">
        <f t="shared" si="1"/>
        <v>0</v>
      </c>
      <c r="V39" s="2">
        <f t="shared" si="1"/>
        <v>0</v>
      </c>
      <c r="W39" s="2">
        <f t="shared" si="1"/>
        <v>0</v>
      </c>
      <c r="X39" s="2">
        <f t="shared" si="1"/>
        <v>0</v>
      </c>
      <c r="Y39" s="2">
        <f t="shared" si="1"/>
        <v>0</v>
      </c>
      <c r="Z39" s="2">
        <f t="shared" si="1"/>
        <v>0</v>
      </c>
      <c r="AB39" s="11">
        <f t="shared" si="2"/>
        <v>0.63749999999999996</v>
      </c>
      <c r="AD39" s="12">
        <f>IFERROR(macrs($D$3,$D$4,$AF39,$T39,TRUE),1)</f>
        <v>1</v>
      </c>
      <c r="AF39" s="7">
        <v>0</v>
      </c>
    </row>
    <row r="40" spans="2:32" x14ac:dyDescent="0.25">
      <c r="B40" s="6">
        <v>27</v>
      </c>
      <c r="C40" s="8">
        <v>0</v>
      </c>
      <c r="D40" s="2">
        <f t="shared" si="6"/>
        <v>0</v>
      </c>
      <c r="E40" s="2">
        <f t="shared" si="6"/>
        <v>0</v>
      </c>
      <c r="F40" s="2">
        <f t="shared" si="6"/>
        <v>0</v>
      </c>
      <c r="G40" s="2">
        <f t="shared" si="6"/>
        <v>0</v>
      </c>
      <c r="H40" s="2">
        <f t="shared" si="6"/>
        <v>0</v>
      </c>
      <c r="K40" s="6">
        <v>27</v>
      </c>
      <c r="L40" s="2">
        <f t="shared" si="0"/>
        <v>0</v>
      </c>
      <c r="M40" s="2">
        <f t="shared" si="0"/>
        <v>0</v>
      </c>
      <c r="N40" s="2">
        <f t="shared" si="0"/>
        <v>0</v>
      </c>
      <c r="O40" s="2">
        <f t="shared" si="0"/>
        <v>0</v>
      </c>
      <c r="P40" s="2">
        <f t="shared" si="0"/>
        <v>0</v>
      </c>
      <c r="Q40" s="2">
        <f t="shared" si="0"/>
        <v>0</v>
      </c>
      <c r="T40" s="6">
        <v>27</v>
      </c>
      <c r="U40" s="2">
        <f t="shared" si="1"/>
        <v>0</v>
      </c>
      <c r="V40" s="2">
        <f t="shared" si="1"/>
        <v>0</v>
      </c>
      <c r="W40" s="2">
        <f t="shared" si="1"/>
        <v>0</v>
      </c>
      <c r="X40" s="2">
        <f t="shared" si="1"/>
        <v>0</v>
      </c>
      <c r="Y40" s="2">
        <f t="shared" si="1"/>
        <v>0</v>
      </c>
      <c r="Z40" s="2">
        <f t="shared" si="1"/>
        <v>0</v>
      </c>
      <c r="AB40" s="11">
        <f t="shared" si="2"/>
        <v>0.66249999999999998</v>
      </c>
      <c r="AD40" s="12">
        <f>IFERROR(macrs($D$3,$D$4,$AF40,$T40,TRUE),1)</f>
        <v>1</v>
      </c>
      <c r="AF40" s="7">
        <v>0</v>
      </c>
    </row>
    <row r="41" spans="2:32" x14ac:dyDescent="0.25">
      <c r="B41" s="6">
        <v>28</v>
      </c>
      <c r="C41" s="8">
        <v>0</v>
      </c>
      <c r="D41" s="2">
        <f t="shared" si="6"/>
        <v>0</v>
      </c>
      <c r="E41" s="2">
        <f t="shared" si="6"/>
        <v>0</v>
      </c>
      <c r="F41" s="2">
        <f t="shared" si="6"/>
        <v>0</v>
      </c>
      <c r="G41" s="2">
        <f t="shared" si="6"/>
        <v>0</v>
      </c>
      <c r="H41" s="2">
        <f t="shared" si="6"/>
        <v>0</v>
      </c>
      <c r="K41" s="6">
        <v>28</v>
      </c>
      <c r="L41" s="2">
        <f t="shared" si="0"/>
        <v>0</v>
      </c>
      <c r="M41" s="2">
        <f t="shared" si="0"/>
        <v>0</v>
      </c>
      <c r="N41" s="2">
        <f t="shared" si="0"/>
        <v>0</v>
      </c>
      <c r="O41" s="2">
        <f t="shared" si="0"/>
        <v>0</v>
      </c>
      <c r="P41" s="2">
        <f t="shared" si="0"/>
        <v>0</v>
      </c>
      <c r="Q41" s="2">
        <f t="shared" si="0"/>
        <v>0</v>
      </c>
      <c r="T41" s="6">
        <v>28</v>
      </c>
      <c r="U41" s="2">
        <f t="shared" si="1"/>
        <v>0</v>
      </c>
      <c r="V41" s="2">
        <f t="shared" si="1"/>
        <v>0</v>
      </c>
      <c r="W41" s="2">
        <f t="shared" si="1"/>
        <v>0</v>
      </c>
      <c r="X41" s="2">
        <f t="shared" si="1"/>
        <v>0</v>
      </c>
      <c r="Y41" s="2">
        <f t="shared" si="1"/>
        <v>0</v>
      </c>
      <c r="Z41" s="2">
        <f t="shared" si="1"/>
        <v>0</v>
      </c>
      <c r="AB41" s="11">
        <f t="shared" si="2"/>
        <v>0.6875</v>
      </c>
      <c r="AD41" s="12">
        <f>IFERROR(macrs($D$3,$D$4,$AF41,$T41,TRUE),1)</f>
        <v>1</v>
      </c>
      <c r="AF41" s="7">
        <v>0</v>
      </c>
    </row>
    <row r="42" spans="2:32" x14ac:dyDescent="0.25">
      <c r="B42" s="6">
        <v>29</v>
      </c>
      <c r="C42" s="8">
        <v>0</v>
      </c>
      <c r="D42" s="2">
        <f t="shared" si="6"/>
        <v>0</v>
      </c>
      <c r="E42" s="2">
        <f t="shared" si="6"/>
        <v>0</v>
      </c>
      <c r="F42" s="2">
        <f t="shared" si="6"/>
        <v>0</v>
      </c>
      <c r="G42" s="2">
        <f t="shared" si="6"/>
        <v>0</v>
      </c>
      <c r="H42" s="2">
        <f t="shared" si="6"/>
        <v>0</v>
      </c>
      <c r="K42" s="6">
        <v>29</v>
      </c>
      <c r="L42" s="2">
        <f t="shared" si="0"/>
        <v>0</v>
      </c>
      <c r="M42" s="2">
        <f t="shared" si="0"/>
        <v>0</v>
      </c>
      <c r="N42" s="2">
        <f t="shared" si="0"/>
        <v>0</v>
      </c>
      <c r="O42" s="2">
        <f t="shared" si="0"/>
        <v>0</v>
      </c>
      <c r="P42" s="2">
        <f t="shared" si="0"/>
        <v>0</v>
      </c>
      <c r="Q42" s="2">
        <f t="shared" si="0"/>
        <v>0</v>
      </c>
      <c r="T42" s="6">
        <v>29</v>
      </c>
      <c r="U42" s="2">
        <f t="shared" si="1"/>
        <v>0</v>
      </c>
      <c r="V42" s="2">
        <f t="shared" si="1"/>
        <v>0</v>
      </c>
      <c r="W42" s="2">
        <f t="shared" si="1"/>
        <v>0</v>
      </c>
      <c r="X42" s="2">
        <f t="shared" si="1"/>
        <v>0</v>
      </c>
      <c r="Y42" s="2">
        <f t="shared" si="1"/>
        <v>0</v>
      </c>
      <c r="Z42" s="2">
        <f t="shared" si="1"/>
        <v>0</v>
      </c>
      <c r="AB42" s="11">
        <f t="shared" si="2"/>
        <v>0.71250000000000002</v>
      </c>
      <c r="AD42" s="12">
        <f>IFERROR(macrs($D$3,$D$4,$AF42,$T42,TRUE),1)</f>
        <v>1</v>
      </c>
      <c r="AF42" s="7">
        <v>0</v>
      </c>
    </row>
    <row r="43" spans="2:32" x14ac:dyDescent="0.25">
      <c r="B43" s="6">
        <v>30</v>
      </c>
      <c r="C43" s="8">
        <v>0</v>
      </c>
      <c r="D43" s="2">
        <f t="shared" si="6"/>
        <v>0</v>
      </c>
      <c r="E43" s="2">
        <f t="shared" si="6"/>
        <v>0</v>
      </c>
      <c r="F43" s="2">
        <f t="shared" si="6"/>
        <v>0</v>
      </c>
      <c r="G43" s="2">
        <f t="shared" si="6"/>
        <v>0</v>
      </c>
      <c r="H43" s="2">
        <f t="shared" si="6"/>
        <v>0</v>
      </c>
      <c r="K43" s="6">
        <v>30</v>
      </c>
      <c r="L43" s="2">
        <f t="shared" si="0"/>
        <v>0</v>
      </c>
      <c r="M43" s="2">
        <f t="shared" si="0"/>
        <v>0</v>
      </c>
      <c r="N43" s="2">
        <f t="shared" si="0"/>
        <v>0</v>
      </c>
      <c r="O43" s="2">
        <f t="shared" si="0"/>
        <v>0</v>
      </c>
      <c r="P43" s="2">
        <f t="shared" si="0"/>
        <v>0</v>
      </c>
      <c r="Q43" s="2">
        <f t="shared" si="0"/>
        <v>0</v>
      </c>
      <c r="T43" s="6">
        <v>30</v>
      </c>
      <c r="U43" s="2">
        <f t="shared" si="1"/>
        <v>0</v>
      </c>
      <c r="V43" s="2">
        <f t="shared" si="1"/>
        <v>0</v>
      </c>
      <c r="W43" s="2">
        <f t="shared" si="1"/>
        <v>0</v>
      </c>
      <c r="X43" s="2">
        <f t="shared" si="1"/>
        <v>0</v>
      </c>
      <c r="Y43" s="2">
        <f t="shared" si="1"/>
        <v>0</v>
      </c>
      <c r="Z43" s="2">
        <f t="shared" si="1"/>
        <v>0</v>
      </c>
      <c r="AB43" s="11">
        <f t="shared" si="2"/>
        <v>0.73750000000000004</v>
      </c>
      <c r="AD43" s="12">
        <f>IFERROR(macrs($D$3,$D$4,$AF43,$T43,TRUE),1)</f>
        <v>1</v>
      </c>
      <c r="AF43" s="7">
        <v>0</v>
      </c>
    </row>
    <row r="44" spans="2:32" x14ac:dyDescent="0.25">
      <c r="B44" s="6">
        <v>31</v>
      </c>
      <c r="C44" s="8">
        <v>0</v>
      </c>
      <c r="D44" s="2">
        <f t="shared" si="6"/>
        <v>0</v>
      </c>
      <c r="E44" s="2">
        <f t="shared" si="6"/>
        <v>0</v>
      </c>
      <c r="F44" s="2">
        <f t="shared" si="6"/>
        <v>0</v>
      </c>
      <c r="G44" s="2">
        <f t="shared" si="6"/>
        <v>0</v>
      </c>
      <c r="H44" s="2">
        <f t="shared" si="6"/>
        <v>0</v>
      </c>
      <c r="K44" s="6">
        <v>31</v>
      </c>
      <c r="L44" s="2">
        <f t="shared" si="0"/>
        <v>0</v>
      </c>
      <c r="M44" s="2">
        <f t="shared" si="0"/>
        <v>0</v>
      </c>
      <c r="N44" s="2">
        <f t="shared" si="0"/>
        <v>0</v>
      </c>
      <c r="O44" s="2">
        <f t="shared" si="0"/>
        <v>0</v>
      </c>
      <c r="P44" s="2">
        <f t="shared" si="0"/>
        <v>0</v>
      </c>
      <c r="Q44" s="2">
        <f t="shared" si="0"/>
        <v>0</v>
      </c>
      <c r="T44" s="6">
        <v>31</v>
      </c>
      <c r="U44" s="2">
        <f t="shared" si="1"/>
        <v>0</v>
      </c>
      <c r="V44" s="2">
        <f t="shared" si="1"/>
        <v>0</v>
      </c>
      <c r="W44" s="2">
        <f t="shared" si="1"/>
        <v>0</v>
      </c>
      <c r="X44" s="2">
        <f t="shared" si="1"/>
        <v>0</v>
      </c>
      <c r="Y44" s="2">
        <f t="shared" si="1"/>
        <v>0</v>
      </c>
      <c r="Z44" s="2">
        <f t="shared" si="1"/>
        <v>0</v>
      </c>
      <c r="AB44" s="11">
        <f t="shared" si="2"/>
        <v>0.76249999999999996</v>
      </c>
      <c r="AD44" s="12">
        <f>IFERROR(macrs($D$3,$D$4,$AF44,$T44,TRUE),1)</f>
        <v>1</v>
      </c>
      <c r="AF44" s="7">
        <v>0</v>
      </c>
    </row>
    <row r="45" spans="2:32" x14ac:dyDescent="0.25">
      <c r="B45" s="6">
        <v>32</v>
      </c>
      <c r="C45" s="8">
        <v>0</v>
      </c>
      <c r="D45" s="2">
        <f t="shared" si="6"/>
        <v>0</v>
      </c>
      <c r="E45" s="2">
        <f t="shared" si="6"/>
        <v>0</v>
      </c>
      <c r="F45" s="2">
        <f t="shared" si="6"/>
        <v>0</v>
      </c>
      <c r="G45" s="2">
        <f t="shared" si="6"/>
        <v>0</v>
      </c>
      <c r="H45" s="2">
        <f t="shared" si="6"/>
        <v>0</v>
      </c>
      <c r="K45" s="6">
        <v>32</v>
      </c>
      <c r="L45" s="2">
        <f t="shared" si="0"/>
        <v>0</v>
      </c>
      <c r="M45" s="2">
        <f t="shared" si="0"/>
        <v>0</v>
      </c>
      <c r="N45" s="2">
        <f t="shared" si="0"/>
        <v>0</v>
      </c>
      <c r="O45" s="2">
        <f t="shared" si="0"/>
        <v>0</v>
      </c>
      <c r="P45" s="2">
        <f t="shared" si="0"/>
        <v>0</v>
      </c>
      <c r="Q45" s="2">
        <f t="shared" si="0"/>
        <v>0</v>
      </c>
      <c r="T45" s="6">
        <v>32</v>
      </c>
      <c r="U45" s="2">
        <f t="shared" si="1"/>
        <v>0</v>
      </c>
      <c r="V45" s="2">
        <f t="shared" si="1"/>
        <v>0</v>
      </c>
      <c r="W45" s="2">
        <f t="shared" si="1"/>
        <v>0</v>
      </c>
      <c r="X45" s="2">
        <f t="shared" si="1"/>
        <v>0</v>
      </c>
      <c r="Y45" s="2">
        <f t="shared" si="1"/>
        <v>0</v>
      </c>
      <c r="Z45" s="2">
        <f t="shared" si="1"/>
        <v>0</v>
      </c>
      <c r="AB45" s="11">
        <f t="shared" si="2"/>
        <v>0.78749999999999998</v>
      </c>
      <c r="AD45" s="12">
        <f>IFERROR(macrs($D$3,$D$4,$AF45,$T45,TRUE),1)</f>
        <v>1</v>
      </c>
      <c r="AF45" s="7">
        <v>0</v>
      </c>
    </row>
    <row r="46" spans="2:32" x14ac:dyDescent="0.25">
      <c r="B46" s="6">
        <v>33</v>
      </c>
      <c r="C46" s="8">
        <v>0</v>
      </c>
      <c r="D46" s="2">
        <f t="shared" si="6"/>
        <v>0</v>
      </c>
      <c r="E46" s="2">
        <f t="shared" si="6"/>
        <v>0</v>
      </c>
      <c r="F46" s="2">
        <f t="shared" si="6"/>
        <v>0</v>
      </c>
      <c r="G46" s="2">
        <f t="shared" si="6"/>
        <v>0</v>
      </c>
      <c r="H46" s="2">
        <f t="shared" si="6"/>
        <v>0</v>
      </c>
      <c r="K46" s="6">
        <v>33</v>
      </c>
      <c r="L46" s="2">
        <f t="shared" si="0"/>
        <v>0</v>
      </c>
      <c r="M46" s="2">
        <f t="shared" si="0"/>
        <v>0</v>
      </c>
      <c r="N46" s="2">
        <f t="shared" si="0"/>
        <v>0</v>
      </c>
      <c r="O46" s="2">
        <f t="shared" si="0"/>
        <v>0</v>
      </c>
      <c r="P46" s="2">
        <f t="shared" si="0"/>
        <v>0</v>
      </c>
      <c r="Q46" s="2">
        <f t="shared" si="0"/>
        <v>0</v>
      </c>
      <c r="T46" s="6">
        <v>33</v>
      </c>
      <c r="U46" s="2">
        <f t="shared" si="1"/>
        <v>0</v>
      </c>
      <c r="V46" s="2">
        <f t="shared" si="1"/>
        <v>0</v>
      </c>
      <c r="W46" s="2">
        <f t="shared" si="1"/>
        <v>0</v>
      </c>
      <c r="X46" s="2">
        <f t="shared" si="1"/>
        <v>0</v>
      </c>
      <c r="Y46" s="2">
        <f t="shared" si="1"/>
        <v>0</v>
      </c>
      <c r="Z46" s="2">
        <f t="shared" si="1"/>
        <v>0</v>
      </c>
      <c r="AB46" s="11">
        <f t="shared" si="2"/>
        <v>0.8125</v>
      </c>
      <c r="AD46" s="12">
        <f>IFERROR(macrs($D$3,$D$4,$AF46,$T46,TRUE),1)</f>
        <v>1</v>
      </c>
      <c r="AF46" s="7">
        <v>0</v>
      </c>
    </row>
    <row r="47" spans="2:32" x14ac:dyDescent="0.25">
      <c r="B47" s="6">
        <v>34</v>
      </c>
      <c r="C47" s="8">
        <v>0</v>
      </c>
      <c r="D47" s="2">
        <f t="shared" si="6"/>
        <v>0</v>
      </c>
      <c r="E47" s="2">
        <f t="shared" si="6"/>
        <v>0</v>
      </c>
      <c r="F47" s="2">
        <f t="shared" si="6"/>
        <v>0</v>
      </c>
      <c r="G47" s="2">
        <f t="shared" si="6"/>
        <v>0</v>
      </c>
      <c r="H47" s="2">
        <f t="shared" si="6"/>
        <v>0</v>
      </c>
      <c r="K47" s="6">
        <v>34</v>
      </c>
      <c r="L47" s="2">
        <f t="shared" si="0"/>
        <v>0</v>
      </c>
      <c r="M47" s="2">
        <f t="shared" si="0"/>
        <v>0</v>
      </c>
      <c r="N47" s="2">
        <f t="shared" si="0"/>
        <v>0</v>
      </c>
      <c r="O47" s="2">
        <f t="shared" si="0"/>
        <v>0</v>
      </c>
      <c r="P47" s="2">
        <f t="shared" si="0"/>
        <v>0</v>
      </c>
      <c r="Q47" s="2">
        <f t="shared" si="0"/>
        <v>0</v>
      </c>
      <c r="T47" s="6">
        <v>34</v>
      </c>
      <c r="U47" s="2">
        <f t="shared" si="1"/>
        <v>0</v>
      </c>
      <c r="V47" s="2">
        <f t="shared" si="1"/>
        <v>0</v>
      </c>
      <c r="W47" s="2">
        <f t="shared" si="1"/>
        <v>0</v>
      </c>
      <c r="X47" s="2">
        <f t="shared" si="1"/>
        <v>0</v>
      </c>
      <c r="Y47" s="2">
        <f t="shared" si="1"/>
        <v>0</v>
      </c>
      <c r="Z47" s="2">
        <f t="shared" si="1"/>
        <v>0</v>
      </c>
      <c r="AB47" s="11">
        <f t="shared" si="2"/>
        <v>0.83750000000000002</v>
      </c>
      <c r="AD47" s="12">
        <f>IFERROR(macrs($D$3,$D$4,$AF47,$T47,TRUE),1)</f>
        <v>1</v>
      </c>
      <c r="AF47" s="7">
        <v>0</v>
      </c>
    </row>
    <row r="48" spans="2:32" x14ac:dyDescent="0.25">
      <c r="B48" s="6">
        <v>35</v>
      </c>
      <c r="C48" s="8">
        <v>0</v>
      </c>
      <c r="D48" s="2">
        <f t="shared" si="6"/>
        <v>0</v>
      </c>
      <c r="E48" s="2">
        <f t="shared" si="6"/>
        <v>0</v>
      </c>
      <c r="F48" s="2">
        <f t="shared" si="6"/>
        <v>0</v>
      </c>
      <c r="G48" s="2">
        <f t="shared" si="6"/>
        <v>0</v>
      </c>
      <c r="H48" s="2">
        <f t="shared" si="6"/>
        <v>0</v>
      </c>
      <c r="K48" s="6">
        <v>35</v>
      </c>
      <c r="L48" s="2">
        <f t="shared" si="0"/>
        <v>0</v>
      </c>
      <c r="M48" s="2">
        <f t="shared" si="0"/>
        <v>0</v>
      </c>
      <c r="N48" s="2">
        <f t="shared" si="0"/>
        <v>0</v>
      </c>
      <c r="O48" s="2">
        <f t="shared" si="0"/>
        <v>0</v>
      </c>
      <c r="P48" s="2">
        <f t="shared" si="0"/>
        <v>0</v>
      </c>
      <c r="Q48" s="2">
        <f t="shared" si="0"/>
        <v>0</v>
      </c>
      <c r="T48" s="6">
        <v>35</v>
      </c>
      <c r="U48" s="2">
        <f t="shared" si="1"/>
        <v>0</v>
      </c>
      <c r="V48" s="2">
        <f t="shared" si="1"/>
        <v>0</v>
      </c>
      <c r="W48" s="2">
        <f t="shared" si="1"/>
        <v>0</v>
      </c>
      <c r="X48" s="2">
        <f t="shared" si="1"/>
        <v>0</v>
      </c>
      <c r="Y48" s="2">
        <f t="shared" si="1"/>
        <v>0</v>
      </c>
      <c r="Z48" s="2">
        <f t="shared" si="1"/>
        <v>0</v>
      </c>
      <c r="AB48" s="11">
        <f t="shared" si="2"/>
        <v>0.86250000000000004</v>
      </c>
      <c r="AD48" s="12">
        <f>IFERROR(macrs($D$3,$D$4,$AF48,$T48,TRUE),1)</f>
        <v>1</v>
      </c>
      <c r="AF48" s="7">
        <v>0</v>
      </c>
    </row>
    <row r="49" spans="2:32" x14ac:dyDescent="0.25">
      <c r="B49" s="6">
        <v>36</v>
      </c>
      <c r="C49" s="8">
        <v>0</v>
      </c>
      <c r="D49" s="2">
        <f t="shared" si="6"/>
        <v>0</v>
      </c>
      <c r="E49" s="2">
        <f t="shared" si="6"/>
        <v>0</v>
      </c>
      <c r="F49" s="2">
        <f t="shared" si="6"/>
        <v>0</v>
      </c>
      <c r="G49" s="2">
        <f t="shared" si="6"/>
        <v>0</v>
      </c>
      <c r="H49" s="2">
        <f t="shared" si="6"/>
        <v>0</v>
      </c>
      <c r="K49" s="6">
        <v>36</v>
      </c>
      <c r="L49" s="2">
        <f t="shared" si="0"/>
        <v>0</v>
      </c>
      <c r="M49" s="2">
        <f t="shared" si="0"/>
        <v>0</v>
      </c>
      <c r="N49" s="2">
        <f t="shared" si="0"/>
        <v>0</v>
      </c>
      <c r="O49" s="2">
        <f t="shared" si="0"/>
        <v>0</v>
      </c>
      <c r="P49" s="2">
        <f t="shared" si="0"/>
        <v>0</v>
      </c>
      <c r="Q49" s="2">
        <f t="shared" si="0"/>
        <v>0</v>
      </c>
      <c r="T49" s="6">
        <v>36</v>
      </c>
      <c r="U49" s="2">
        <f t="shared" si="1"/>
        <v>0</v>
      </c>
      <c r="V49" s="2">
        <f t="shared" si="1"/>
        <v>0</v>
      </c>
      <c r="W49" s="2">
        <f t="shared" si="1"/>
        <v>0</v>
      </c>
      <c r="X49" s="2">
        <f t="shared" si="1"/>
        <v>0</v>
      </c>
      <c r="Y49" s="2">
        <f t="shared" si="1"/>
        <v>0</v>
      </c>
      <c r="Z49" s="2">
        <f t="shared" si="1"/>
        <v>0</v>
      </c>
      <c r="AB49" s="11">
        <f t="shared" si="2"/>
        <v>0.88749999999999996</v>
      </c>
      <c r="AD49" s="12">
        <f>IFERROR(macrs($D$3,$D$4,$AF49,$T49,TRUE),1)</f>
        <v>1</v>
      </c>
      <c r="AF49" s="7">
        <v>0</v>
      </c>
    </row>
    <row r="50" spans="2:32" x14ac:dyDescent="0.25">
      <c r="B50" s="6">
        <v>37</v>
      </c>
      <c r="C50" s="8">
        <v>0</v>
      </c>
      <c r="D50" s="2">
        <f t="shared" si="6"/>
        <v>0</v>
      </c>
      <c r="E50" s="2">
        <f t="shared" si="6"/>
        <v>0</v>
      </c>
      <c r="F50" s="2">
        <f t="shared" si="6"/>
        <v>0</v>
      </c>
      <c r="G50" s="2">
        <f t="shared" si="6"/>
        <v>0</v>
      </c>
      <c r="H50" s="2">
        <f t="shared" si="6"/>
        <v>0</v>
      </c>
      <c r="K50" s="6">
        <v>37</v>
      </c>
      <c r="L50" s="2">
        <f t="shared" si="0"/>
        <v>0</v>
      </c>
      <c r="M50" s="2">
        <f t="shared" si="0"/>
        <v>0</v>
      </c>
      <c r="N50" s="2">
        <f t="shared" si="0"/>
        <v>0</v>
      </c>
      <c r="O50" s="2">
        <f t="shared" si="0"/>
        <v>0</v>
      </c>
      <c r="P50" s="2">
        <f t="shared" si="0"/>
        <v>0</v>
      </c>
      <c r="Q50" s="2">
        <f t="shared" si="0"/>
        <v>0</v>
      </c>
      <c r="T50" s="6">
        <v>37</v>
      </c>
      <c r="U50" s="2">
        <f t="shared" si="1"/>
        <v>0</v>
      </c>
      <c r="V50" s="2">
        <f t="shared" si="1"/>
        <v>0</v>
      </c>
      <c r="W50" s="2">
        <f t="shared" si="1"/>
        <v>0</v>
      </c>
      <c r="X50" s="2">
        <f t="shared" si="1"/>
        <v>0</v>
      </c>
      <c r="Y50" s="2">
        <f t="shared" si="1"/>
        <v>0</v>
      </c>
      <c r="Z50" s="2">
        <f t="shared" si="1"/>
        <v>0</v>
      </c>
      <c r="AB50" s="11">
        <f t="shared" si="2"/>
        <v>0.91249999999999998</v>
      </c>
      <c r="AD50" s="12">
        <f>IFERROR(macrs($D$3,$D$4,$AF50,$T50,TRUE),1)</f>
        <v>1</v>
      </c>
      <c r="AF50" s="7">
        <v>0</v>
      </c>
    </row>
    <row r="51" spans="2:32" x14ac:dyDescent="0.25">
      <c r="B51" s="6">
        <v>38</v>
      </c>
      <c r="C51" s="8">
        <v>0</v>
      </c>
      <c r="D51" s="2">
        <f t="shared" si="6"/>
        <v>0</v>
      </c>
      <c r="E51" s="2">
        <f t="shared" si="6"/>
        <v>0</v>
      </c>
      <c r="F51" s="2">
        <f t="shared" si="6"/>
        <v>0</v>
      </c>
      <c r="G51" s="2">
        <f t="shared" si="6"/>
        <v>0</v>
      </c>
      <c r="H51" s="2">
        <f t="shared" si="6"/>
        <v>0</v>
      </c>
      <c r="K51" s="6">
        <v>38</v>
      </c>
      <c r="L51" s="2">
        <f t="shared" si="0"/>
        <v>0</v>
      </c>
      <c r="M51" s="2">
        <f t="shared" si="0"/>
        <v>0</v>
      </c>
      <c r="N51" s="2">
        <f t="shared" si="0"/>
        <v>0</v>
      </c>
      <c r="O51" s="2">
        <f t="shared" si="0"/>
        <v>0</v>
      </c>
      <c r="P51" s="2">
        <f t="shared" si="0"/>
        <v>0</v>
      </c>
      <c r="Q51" s="2">
        <f t="shared" si="0"/>
        <v>0</v>
      </c>
      <c r="T51" s="6">
        <v>38</v>
      </c>
      <c r="U51" s="2">
        <f t="shared" si="1"/>
        <v>0</v>
      </c>
      <c r="V51" s="2">
        <f t="shared" si="1"/>
        <v>0</v>
      </c>
      <c r="W51" s="2">
        <f t="shared" si="1"/>
        <v>0</v>
      </c>
      <c r="X51" s="2">
        <f t="shared" si="1"/>
        <v>0</v>
      </c>
      <c r="Y51" s="2">
        <f t="shared" si="1"/>
        <v>0</v>
      </c>
      <c r="Z51" s="2">
        <f t="shared" si="1"/>
        <v>0</v>
      </c>
      <c r="AB51" s="11">
        <f t="shared" si="2"/>
        <v>0.9375</v>
      </c>
      <c r="AD51" s="12">
        <f>IFERROR(macrs($D$3,$D$4,$AF51,$T51,TRUE),1)</f>
        <v>1</v>
      </c>
      <c r="AF51" s="7">
        <v>0</v>
      </c>
    </row>
    <row r="52" spans="2:32" x14ac:dyDescent="0.25">
      <c r="B52" s="6">
        <v>39</v>
      </c>
      <c r="C52" s="8">
        <v>0</v>
      </c>
      <c r="D52" s="2">
        <f t="shared" si="6"/>
        <v>0</v>
      </c>
      <c r="E52" s="2">
        <f t="shared" si="6"/>
        <v>0</v>
      </c>
      <c r="F52" s="2">
        <f t="shared" si="6"/>
        <v>0</v>
      </c>
      <c r="G52" s="2">
        <f t="shared" si="6"/>
        <v>0</v>
      </c>
      <c r="H52" s="2">
        <f t="shared" si="6"/>
        <v>0</v>
      </c>
      <c r="K52" s="6">
        <v>39</v>
      </c>
      <c r="L52" s="2">
        <f t="shared" si="0"/>
        <v>0</v>
      </c>
      <c r="M52" s="2">
        <f t="shared" si="0"/>
        <v>0</v>
      </c>
      <c r="N52" s="2">
        <f t="shared" si="0"/>
        <v>0</v>
      </c>
      <c r="O52" s="2">
        <f t="shared" si="0"/>
        <v>0</v>
      </c>
      <c r="P52" s="2">
        <f t="shared" si="0"/>
        <v>0</v>
      </c>
      <c r="Q52" s="2">
        <f t="shared" si="0"/>
        <v>0</v>
      </c>
      <c r="T52" s="6">
        <v>39</v>
      </c>
      <c r="U52" s="2">
        <f t="shared" si="1"/>
        <v>0</v>
      </c>
      <c r="V52" s="2">
        <f t="shared" si="1"/>
        <v>0</v>
      </c>
      <c r="W52" s="2">
        <f t="shared" si="1"/>
        <v>0</v>
      </c>
      <c r="X52" s="2">
        <f t="shared" si="1"/>
        <v>0</v>
      </c>
      <c r="Y52" s="2">
        <f t="shared" si="1"/>
        <v>0</v>
      </c>
      <c r="Z52" s="2">
        <f t="shared" si="1"/>
        <v>0</v>
      </c>
      <c r="AB52" s="11">
        <f t="shared" si="2"/>
        <v>0.96250000000000002</v>
      </c>
      <c r="AD52" s="12">
        <f>IFERROR(macrs($D$3,$D$4,$AF52,$T52,TRUE),1)</f>
        <v>1</v>
      </c>
      <c r="AF52" s="7">
        <v>0</v>
      </c>
    </row>
    <row r="53" spans="2:32" x14ac:dyDescent="0.25">
      <c r="B53" s="6">
        <v>40</v>
      </c>
      <c r="C53" s="8">
        <v>0</v>
      </c>
      <c r="D53" s="2">
        <f t="shared" si="6"/>
        <v>0</v>
      </c>
      <c r="E53" s="2">
        <f t="shared" si="6"/>
        <v>0</v>
      </c>
      <c r="F53" s="2">
        <f t="shared" si="6"/>
        <v>0</v>
      </c>
      <c r="G53" s="2">
        <f t="shared" si="6"/>
        <v>0</v>
      </c>
      <c r="H53" s="2">
        <f t="shared" si="6"/>
        <v>0</v>
      </c>
      <c r="K53" s="6">
        <v>40</v>
      </c>
      <c r="L53" s="2">
        <f t="shared" si="0"/>
        <v>0</v>
      </c>
      <c r="M53" s="2">
        <f t="shared" si="0"/>
        <v>0</v>
      </c>
      <c r="N53" s="2">
        <f t="shared" si="0"/>
        <v>0</v>
      </c>
      <c r="O53" s="2">
        <f t="shared" si="0"/>
        <v>0</v>
      </c>
      <c r="P53" s="2">
        <f t="shared" si="0"/>
        <v>0</v>
      </c>
      <c r="Q53" s="2">
        <f t="shared" si="0"/>
        <v>0</v>
      </c>
      <c r="T53" s="6">
        <v>40</v>
      </c>
      <c r="U53" s="2">
        <f t="shared" si="1"/>
        <v>0</v>
      </c>
      <c r="V53" s="2">
        <f t="shared" si="1"/>
        <v>0</v>
      </c>
      <c r="W53" s="2">
        <f t="shared" si="1"/>
        <v>0</v>
      </c>
      <c r="X53" s="2">
        <f t="shared" si="1"/>
        <v>0</v>
      </c>
      <c r="Y53" s="2">
        <f t="shared" si="1"/>
        <v>0</v>
      </c>
      <c r="Z53" s="2">
        <f t="shared" si="1"/>
        <v>0</v>
      </c>
      <c r="AB53" s="11">
        <f t="shared" si="2"/>
        <v>0.98750000000000004</v>
      </c>
      <c r="AD53" s="12">
        <f>IFERROR(macrs($D$3,$D$4,$AF53,$T53,TRUE),1)</f>
        <v>1</v>
      </c>
      <c r="AF53" s="7">
        <v>0</v>
      </c>
    </row>
    <row r="54" spans="2:32" x14ac:dyDescent="0.25">
      <c r="B54" s="6">
        <v>41</v>
      </c>
      <c r="C54" s="8">
        <v>0</v>
      </c>
      <c r="D54" s="2">
        <f t="shared" si="6"/>
        <v>0</v>
      </c>
      <c r="E54" s="2">
        <f t="shared" si="6"/>
        <v>0</v>
      </c>
      <c r="F54" s="2">
        <f t="shared" si="6"/>
        <v>0</v>
      </c>
      <c r="G54" s="2">
        <f t="shared" si="6"/>
        <v>0</v>
      </c>
      <c r="H54" s="2">
        <f t="shared" si="6"/>
        <v>0</v>
      </c>
      <c r="K54" s="6">
        <v>41</v>
      </c>
      <c r="L54" s="2">
        <f t="shared" si="0"/>
        <v>0</v>
      </c>
      <c r="M54" s="2">
        <f t="shared" si="0"/>
        <v>0</v>
      </c>
      <c r="N54" s="2">
        <f t="shared" si="0"/>
        <v>0</v>
      </c>
      <c r="O54" s="2">
        <f t="shared" si="0"/>
        <v>0</v>
      </c>
      <c r="P54" s="2">
        <f t="shared" si="0"/>
        <v>0</v>
      </c>
      <c r="Q54" s="2">
        <f t="shared" si="0"/>
        <v>0</v>
      </c>
      <c r="T54" s="6">
        <v>41</v>
      </c>
      <c r="U54" s="2">
        <f t="shared" si="1"/>
        <v>0</v>
      </c>
      <c r="V54" s="2">
        <f t="shared" si="1"/>
        <v>0</v>
      </c>
      <c r="W54" s="2">
        <f t="shared" si="1"/>
        <v>0</v>
      </c>
      <c r="X54" s="2">
        <f t="shared" si="1"/>
        <v>0</v>
      </c>
      <c r="Y54" s="2">
        <f t="shared" si="1"/>
        <v>0</v>
      </c>
      <c r="Z54" s="2">
        <f t="shared" si="1"/>
        <v>0</v>
      </c>
      <c r="AB54" s="11">
        <f t="shared" si="2"/>
        <v>1</v>
      </c>
      <c r="AD54" s="12">
        <f>IFERROR(macrs($D$3,$D$4,$AF54,$T54,TRUE),1)</f>
        <v>1</v>
      </c>
      <c r="AF54" s="7">
        <v>0</v>
      </c>
    </row>
    <row r="55" spans="2:32" x14ac:dyDescent="0.25">
      <c r="B55" s="6">
        <v>42</v>
      </c>
      <c r="C55" s="2"/>
      <c r="D55" s="2">
        <f>C54+C55</f>
        <v>0</v>
      </c>
      <c r="E55" s="2">
        <f>D54+D55</f>
        <v>0</v>
      </c>
      <c r="F55" s="2">
        <f>E54+E55</f>
        <v>0</v>
      </c>
      <c r="G55" s="2">
        <f>F54+F55</f>
        <v>0</v>
      </c>
      <c r="H55" s="2">
        <f>G54+G55</f>
        <v>0</v>
      </c>
      <c r="K55" s="6">
        <v>42</v>
      </c>
      <c r="L55" s="2">
        <f t="shared" si="0"/>
        <v>0</v>
      </c>
      <c r="M55" s="2">
        <f t="shared" si="0"/>
        <v>0</v>
      </c>
      <c r="N55" s="2">
        <f t="shared" si="0"/>
        <v>0</v>
      </c>
      <c r="O55" s="2">
        <f t="shared" si="0"/>
        <v>0</v>
      </c>
      <c r="P55" s="2">
        <f t="shared" si="0"/>
        <v>0</v>
      </c>
      <c r="Q55" s="2">
        <f t="shared" si="0"/>
        <v>0</v>
      </c>
      <c r="T55" s="6">
        <v>42</v>
      </c>
      <c r="U55" s="2">
        <f t="shared" si="1"/>
        <v>0</v>
      </c>
      <c r="V55" s="2">
        <f t="shared" si="1"/>
        <v>0</v>
      </c>
      <c r="W55" s="2">
        <f t="shared" si="1"/>
        <v>0</v>
      </c>
      <c r="X55" s="2">
        <f t="shared" si="1"/>
        <v>0</v>
      </c>
      <c r="Y55" s="2">
        <f t="shared" si="1"/>
        <v>0</v>
      </c>
      <c r="Z55" s="2">
        <f t="shared" si="1"/>
        <v>0</v>
      </c>
      <c r="AB55" s="11">
        <f t="shared" si="2"/>
        <v>1</v>
      </c>
      <c r="AD55" s="12">
        <f>IFERROR(macrs($D$3,$D$4,$AF55,$T55,TRUE),1)</f>
        <v>1</v>
      </c>
    </row>
    <row r="56" spans="2:32" x14ac:dyDescent="0.25">
      <c r="B56" s="4" t="s">
        <v>11</v>
      </c>
      <c r="C56" s="3">
        <f t="shared" ref="C56:H56" si="8">SUM(C14:C55)</f>
        <v>500.00012177121744</v>
      </c>
      <c r="D56" s="3">
        <f t="shared" si="8"/>
        <v>500.00012177121744</v>
      </c>
      <c r="E56" s="3">
        <f t="shared" si="8"/>
        <v>500.00012177121744</v>
      </c>
      <c r="F56" s="3">
        <f t="shared" si="8"/>
        <v>500.00012177121744</v>
      </c>
      <c r="G56" s="3">
        <f t="shared" si="8"/>
        <v>500.00012177121744</v>
      </c>
      <c r="H56" s="3">
        <f t="shared" si="8"/>
        <v>500.00012177121744</v>
      </c>
      <c r="K56" s="4" t="s">
        <v>11</v>
      </c>
      <c r="L56" s="3">
        <f t="shared" ref="L56:Q56" si="9">SUM(L14:L55)</f>
        <v>120.00008997007568</v>
      </c>
      <c r="M56" s="3">
        <f t="shared" si="9"/>
        <v>132.50009301435614</v>
      </c>
      <c r="N56" s="3">
        <f t="shared" si="9"/>
        <v>145.00009605863656</v>
      </c>
      <c r="O56" s="3">
        <f t="shared" si="9"/>
        <v>157.50009910291701</v>
      </c>
      <c r="P56" s="3">
        <f t="shared" si="9"/>
        <v>170.00010214719745</v>
      </c>
      <c r="Q56" s="3">
        <f t="shared" si="9"/>
        <v>182.50010519147787</v>
      </c>
      <c r="T56" s="4" t="s">
        <v>11</v>
      </c>
      <c r="U56" s="3">
        <f t="shared" ref="U56:Z56" si="10">SUM(U14:U55)</f>
        <v>492.18731602192702</v>
      </c>
      <c r="V56" s="3">
        <f t="shared" si="10"/>
        <v>475.55973558852543</v>
      </c>
      <c r="W56" s="3">
        <f t="shared" si="10"/>
        <v>455.72747830967671</v>
      </c>
      <c r="X56" s="3">
        <f t="shared" si="10"/>
        <v>464.74037866773199</v>
      </c>
      <c r="Y56" s="3">
        <f t="shared" si="10"/>
        <v>465.19783541251127</v>
      </c>
      <c r="Z56" s="3">
        <f t="shared" si="10"/>
        <v>466.02211941357984</v>
      </c>
    </row>
    <row r="59" spans="2:32" x14ac:dyDescent="0.25">
      <c r="D59" s="2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660E40C-16D8-4954-A0A5-779AFBF6154A}">
  <ds:schemaRefs>
    <ds:schemaRef ds:uri="http://www.w3.org/2001/XMLSchema"/>
    <ds:schemaRef ds:uri="http://www.boozallen.com/argo/gui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Financial Forecast</vt:lpstr>
      <vt:lpstr>Rate Base &amp; Revenue Req</vt:lpstr>
      <vt:lpstr>Assumptions</vt:lpstr>
      <vt:lpstr>2016YE Plant in Service</vt:lpstr>
      <vt:lpstr>Addtl Plant in Service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</dc:creator>
  <cp:lastModifiedBy>Conklin, Michael B</cp:lastModifiedBy>
  <dcterms:created xsi:type="dcterms:W3CDTF">2018-01-04T13:09:01Z</dcterms:created>
  <dcterms:modified xsi:type="dcterms:W3CDTF">2018-01-08T23:12:50Z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{C20D0B74-FA5E-431A-A1F6-8814105FB682}</vt:lpwstr>
  </property>
</Properties>
</file>